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cketsutoledo-my.sharepoint.com/personal/mweintr_rockets_utoledo_edu/Documents/ESE Lab Stuff/People/Research Assistant Professors/Fausto/Pore water/"/>
    </mc:Choice>
  </mc:AlternateContent>
  <xr:revisionPtr revIDLastSave="33" documentId="8_{07F3984B-7FA2-4FA2-B7C0-49CED1136895}" xr6:coauthVersionLast="47" xr6:coauthVersionMax="47" xr10:uidLastSave="{1939EF27-6BBF-483C-B3CE-1FFE1C3C8BE1}"/>
  <bookViews>
    <workbookView xWindow="-120" yWindow="-120" windowWidth="29040" windowHeight="15720" xr2:uid="{2B0ACF71-A8ED-4B83-ACE2-A18EE0F28541}"/>
  </bookViews>
  <sheets>
    <sheet name="Nutri" sheetId="3" r:id="rId1"/>
  </sheets>
  <definedNames>
    <definedName name="_xlnm._FilterDatabase" localSheetId="0" hidden="1">Nutri!$A$1:$Q$1243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2" i="3"/>
  <c r="R250" i="3"/>
  <c r="R743" i="3"/>
  <c r="R895" i="3"/>
  <c r="R1063" i="3"/>
  <c r="R1125" i="3"/>
  <c r="R1195" i="3"/>
  <c r="R1233" i="3"/>
  <c r="G379" i="3"/>
  <c r="H379" i="3"/>
  <c r="I379" i="3"/>
  <c r="G380" i="3"/>
  <c r="H380" i="3"/>
  <c r="I380" i="3"/>
  <c r="G381" i="3"/>
  <c r="R381" i="3" s="1"/>
  <c r="H381" i="3"/>
  <c r="I381" i="3"/>
  <c r="I285" i="3"/>
  <c r="H285" i="3"/>
  <c r="G285" i="3"/>
  <c r="I284" i="3"/>
  <c r="H284" i="3"/>
  <c r="G284" i="3"/>
  <c r="I283" i="3"/>
  <c r="H283" i="3"/>
  <c r="G283" i="3"/>
  <c r="I282" i="3"/>
  <c r="H282" i="3"/>
  <c r="G282" i="3"/>
  <c r="I281" i="3"/>
  <c r="H281" i="3"/>
  <c r="G281" i="3"/>
  <c r="I280" i="3"/>
  <c r="H280" i="3"/>
  <c r="G280" i="3"/>
  <c r="I279" i="3"/>
  <c r="H279" i="3"/>
  <c r="G279" i="3"/>
  <c r="I278" i="3"/>
  <c r="H278" i="3"/>
  <c r="G278" i="3"/>
  <c r="R278" i="3" s="1"/>
  <c r="I277" i="3"/>
  <c r="H277" i="3"/>
  <c r="G277" i="3"/>
  <c r="I276" i="3"/>
  <c r="H276" i="3"/>
  <c r="G276" i="3"/>
  <c r="I275" i="3"/>
  <c r="H275" i="3"/>
  <c r="G275" i="3"/>
  <c r="I274" i="3"/>
  <c r="H274" i="3"/>
  <c r="G274" i="3"/>
  <c r="I273" i="3"/>
  <c r="H273" i="3"/>
  <c r="G273" i="3"/>
  <c r="I272" i="3"/>
  <c r="H272" i="3"/>
  <c r="G272" i="3"/>
  <c r="I271" i="3"/>
  <c r="H271" i="3"/>
  <c r="G271" i="3"/>
  <c r="I270" i="3"/>
  <c r="H270" i="3"/>
  <c r="G270" i="3"/>
  <c r="I269" i="3"/>
  <c r="H269" i="3"/>
  <c r="G269" i="3"/>
  <c r="I268" i="3"/>
  <c r="H268" i="3"/>
  <c r="G268" i="3"/>
  <c r="I267" i="3"/>
  <c r="H267" i="3"/>
  <c r="G267" i="3"/>
  <c r="I266" i="3"/>
  <c r="H266" i="3"/>
  <c r="G266" i="3"/>
  <c r="R266" i="3" s="1"/>
  <c r="I265" i="3"/>
  <c r="H265" i="3"/>
  <c r="G265" i="3"/>
  <c r="I264" i="3"/>
  <c r="H264" i="3"/>
  <c r="G264" i="3"/>
  <c r="I263" i="3"/>
  <c r="H263" i="3"/>
  <c r="G263" i="3"/>
  <c r="I262" i="3"/>
  <c r="H262" i="3"/>
  <c r="G262" i="3"/>
  <c r="R262" i="3" s="1"/>
  <c r="I261" i="3"/>
  <c r="H261" i="3"/>
  <c r="G261" i="3"/>
  <c r="R261" i="3" s="1"/>
  <c r="I260" i="3"/>
  <c r="H260" i="3"/>
  <c r="G260" i="3"/>
  <c r="I259" i="3"/>
  <c r="H259" i="3"/>
  <c r="G259" i="3"/>
  <c r="I258" i="3"/>
  <c r="H258" i="3"/>
  <c r="G258" i="3"/>
  <c r="I257" i="3"/>
  <c r="H257" i="3"/>
  <c r="G257" i="3"/>
  <c r="I256" i="3"/>
  <c r="H256" i="3"/>
  <c r="G256" i="3"/>
  <c r="I255" i="3"/>
  <c r="H255" i="3"/>
  <c r="G255" i="3"/>
  <c r="I254" i="3"/>
  <c r="H254" i="3"/>
  <c r="G254" i="3"/>
  <c r="I253" i="3"/>
  <c r="H253" i="3"/>
  <c r="G253" i="3"/>
  <c r="I252" i="3"/>
  <c r="H252" i="3"/>
  <c r="G252" i="3"/>
  <c r="I251" i="3"/>
  <c r="H251" i="3"/>
  <c r="G251" i="3"/>
  <c r="I250" i="3"/>
  <c r="H250" i="3"/>
  <c r="G250" i="3"/>
  <c r="I249" i="3"/>
  <c r="H249" i="3"/>
  <c r="G249" i="3"/>
  <c r="R249" i="3" s="1"/>
  <c r="I248" i="3"/>
  <c r="H248" i="3"/>
  <c r="G248" i="3"/>
  <c r="I247" i="3"/>
  <c r="H247" i="3"/>
  <c r="G247" i="3"/>
  <c r="I246" i="3"/>
  <c r="H246" i="3"/>
  <c r="G246" i="3"/>
  <c r="I245" i="3"/>
  <c r="H245" i="3"/>
  <c r="G245" i="3"/>
  <c r="I244" i="3"/>
  <c r="H244" i="3"/>
  <c r="G244" i="3"/>
  <c r="I243" i="3"/>
  <c r="H243" i="3"/>
  <c r="G243" i="3"/>
  <c r="I242" i="3"/>
  <c r="H242" i="3"/>
  <c r="G242" i="3"/>
  <c r="I241" i="3"/>
  <c r="H241" i="3"/>
  <c r="G241" i="3"/>
  <c r="I240" i="3"/>
  <c r="H240" i="3"/>
  <c r="G240" i="3"/>
  <c r="I239" i="3"/>
  <c r="H239" i="3"/>
  <c r="G239" i="3"/>
  <c r="I238" i="3"/>
  <c r="H238" i="3"/>
  <c r="G238" i="3"/>
  <c r="R238" i="3" s="1"/>
  <c r="I237" i="3"/>
  <c r="H237" i="3"/>
  <c r="G237" i="3"/>
  <c r="I236" i="3"/>
  <c r="H236" i="3"/>
  <c r="G236" i="3"/>
  <c r="I235" i="3"/>
  <c r="H235" i="3"/>
  <c r="G235" i="3"/>
  <c r="I234" i="3"/>
  <c r="H234" i="3"/>
  <c r="G234" i="3"/>
  <c r="I233" i="3"/>
  <c r="H233" i="3"/>
  <c r="G233" i="3"/>
  <c r="I232" i="3"/>
  <c r="H232" i="3"/>
  <c r="G232" i="3"/>
  <c r="I231" i="3"/>
  <c r="H231" i="3"/>
  <c r="G231" i="3"/>
  <c r="I230" i="3"/>
  <c r="H230" i="3"/>
  <c r="G230" i="3"/>
  <c r="I229" i="3"/>
  <c r="H229" i="3"/>
  <c r="G229" i="3"/>
  <c r="I228" i="3"/>
  <c r="H228" i="3"/>
  <c r="G228" i="3"/>
  <c r="I227" i="3"/>
  <c r="H227" i="3"/>
  <c r="G227" i="3"/>
  <c r="H1243" i="3"/>
  <c r="G1243" i="3"/>
  <c r="R1243" i="3" s="1"/>
  <c r="H1242" i="3"/>
  <c r="G1242" i="3"/>
  <c r="H1241" i="3"/>
  <c r="G1241" i="3"/>
  <c r="R1241" i="3" s="1"/>
  <c r="H1240" i="3"/>
  <c r="G1240" i="3"/>
  <c r="R1240" i="3" s="1"/>
  <c r="H1239" i="3"/>
  <c r="G1239" i="3"/>
  <c r="H1238" i="3"/>
  <c r="G1238" i="3"/>
  <c r="H1237" i="3"/>
  <c r="G1237" i="3"/>
  <c r="G1235" i="3"/>
  <c r="H1235" i="3"/>
  <c r="G1236" i="3"/>
  <c r="R1236" i="3" s="1"/>
  <c r="H1236" i="3"/>
  <c r="G1214" i="3"/>
  <c r="R1214" i="3" s="1"/>
  <c r="H1214" i="3"/>
  <c r="G1215" i="3"/>
  <c r="R1215" i="3" s="1"/>
  <c r="H1215" i="3"/>
  <c r="G1216" i="3"/>
  <c r="R1216" i="3" s="1"/>
  <c r="H1216" i="3"/>
  <c r="G1217" i="3"/>
  <c r="H1217" i="3"/>
  <c r="G1218" i="3"/>
  <c r="H1218" i="3"/>
  <c r="G1219" i="3"/>
  <c r="R1219" i="3" s="1"/>
  <c r="H1219" i="3"/>
  <c r="G1220" i="3"/>
  <c r="R1220" i="3" s="1"/>
  <c r="H1220" i="3"/>
  <c r="G1221" i="3"/>
  <c r="R1221" i="3" s="1"/>
  <c r="H1221" i="3"/>
  <c r="G1222" i="3"/>
  <c r="R1222" i="3" s="1"/>
  <c r="H1222" i="3"/>
  <c r="G1223" i="3"/>
  <c r="H1223" i="3"/>
  <c r="G1224" i="3"/>
  <c r="H1224" i="3"/>
  <c r="G1225" i="3"/>
  <c r="R1225" i="3" s="1"/>
  <c r="H1225" i="3"/>
  <c r="G1226" i="3"/>
  <c r="R1226" i="3" s="1"/>
  <c r="H1226" i="3"/>
  <c r="G1227" i="3"/>
  <c r="H1227" i="3"/>
  <c r="G1228" i="3"/>
  <c r="R1228" i="3" s="1"/>
  <c r="H1228" i="3"/>
  <c r="G1229" i="3"/>
  <c r="H1229" i="3"/>
  <c r="G1230" i="3"/>
  <c r="H1230" i="3"/>
  <c r="G1231" i="3"/>
  <c r="R1231" i="3" s="1"/>
  <c r="H1231" i="3"/>
  <c r="G1232" i="3"/>
  <c r="R1232" i="3" s="1"/>
  <c r="H1232" i="3"/>
  <c r="G1233" i="3"/>
  <c r="H1233" i="3"/>
  <c r="G1234" i="3"/>
  <c r="R1234" i="3" s="1"/>
  <c r="H1234" i="3"/>
  <c r="G1212" i="3"/>
  <c r="H1212" i="3"/>
  <c r="G1213" i="3"/>
  <c r="H1213" i="3"/>
  <c r="G1182" i="3"/>
  <c r="R1182" i="3" s="1"/>
  <c r="H1182" i="3"/>
  <c r="G1183" i="3"/>
  <c r="R1183" i="3" s="1"/>
  <c r="H1183" i="3"/>
  <c r="G1184" i="3"/>
  <c r="R1184" i="3" s="1"/>
  <c r="H1184" i="3"/>
  <c r="G1185" i="3"/>
  <c r="R1185" i="3" s="1"/>
  <c r="H1185" i="3"/>
  <c r="G1186" i="3"/>
  <c r="H1186" i="3"/>
  <c r="G1187" i="3"/>
  <c r="H1187" i="3"/>
  <c r="G1188" i="3"/>
  <c r="R1188" i="3" s="1"/>
  <c r="H1188" i="3"/>
  <c r="G1189" i="3"/>
  <c r="H1189" i="3"/>
  <c r="G1190" i="3"/>
  <c r="H1190" i="3"/>
  <c r="G1191" i="3"/>
  <c r="R1191" i="3" s="1"/>
  <c r="H1191" i="3"/>
  <c r="G1192" i="3"/>
  <c r="H1192" i="3"/>
  <c r="G1193" i="3"/>
  <c r="H1193" i="3"/>
  <c r="G1194" i="3"/>
  <c r="R1194" i="3" s="1"/>
  <c r="H1194" i="3"/>
  <c r="G1195" i="3"/>
  <c r="H1195" i="3"/>
  <c r="G1196" i="3"/>
  <c r="R1196" i="3" s="1"/>
  <c r="H1196" i="3"/>
  <c r="G1197" i="3"/>
  <c r="R1197" i="3" s="1"/>
  <c r="H1197" i="3"/>
  <c r="G1198" i="3"/>
  <c r="H1198" i="3"/>
  <c r="G1199" i="3"/>
  <c r="H1199" i="3"/>
  <c r="G1200" i="3"/>
  <c r="R1200" i="3" s="1"/>
  <c r="H1200" i="3"/>
  <c r="G1201" i="3"/>
  <c r="H1201" i="3"/>
  <c r="G1202" i="3"/>
  <c r="H1202" i="3"/>
  <c r="G1203" i="3"/>
  <c r="R1203" i="3" s="1"/>
  <c r="H1203" i="3"/>
  <c r="G1204" i="3"/>
  <c r="H1204" i="3"/>
  <c r="G1205" i="3"/>
  <c r="H1205" i="3"/>
  <c r="G1206" i="3"/>
  <c r="R1206" i="3" s="1"/>
  <c r="H1206" i="3"/>
  <c r="G1207" i="3"/>
  <c r="R1207" i="3" s="1"/>
  <c r="H1207" i="3"/>
  <c r="G1208" i="3"/>
  <c r="R1208" i="3" s="1"/>
  <c r="H1208" i="3"/>
  <c r="G1209" i="3"/>
  <c r="R1209" i="3" s="1"/>
  <c r="H1209" i="3"/>
  <c r="G1210" i="3"/>
  <c r="H1210" i="3"/>
  <c r="G1211" i="3"/>
  <c r="H1211" i="3"/>
  <c r="G1180" i="3"/>
  <c r="H1180" i="3"/>
  <c r="G1181" i="3"/>
  <c r="R1181" i="3" s="1"/>
  <c r="H1181" i="3"/>
  <c r="G1171" i="3"/>
  <c r="R1171" i="3" s="1"/>
  <c r="H1171" i="3"/>
  <c r="G1172" i="3"/>
  <c r="R1172" i="3" s="1"/>
  <c r="H1172" i="3"/>
  <c r="G1173" i="3"/>
  <c r="H1173" i="3"/>
  <c r="G1174" i="3"/>
  <c r="H1174" i="3"/>
  <c r="G1175" i="3"/>
  <c r="H1175" i="3"/>
  <c r="G1176" i="3"/>
  <c r="H1176" i="3"/>
  <c r="G1177" i="3"/>
  <c r="H1177" i="3"/>
  <c r="G1178" i="3"/>
  <c r="H1178" i="3"/>
  <c r="G1179" i="3"/>
  <c r="H1179" i="3"/>
  <c r="G1169" i="3"/>
  <c r="H1169" i="3"/>
  <c r="G1170" i="3"/>
  <c r="R1170" i="3" s="1"/>
  <c r="H1170" i="3"/>
  <c r="G1140" i="3"/>
  <c r="H1140" i="3"/>
  <c r="G1141" i="3"/>
  <c r="H1141" i="3"/>
  <c r="G1142" i="3"/>
  <c r="H1142" i="3"/>
  <c r="G1143" i="3"/>
  <c r="R1143" i="3" s="1"/>
  <c r="H1143" i="3"/>
  <c r="G1144" i="3"/>
  <c r="H1144" i="3"/>
  <c r="G1145" i="3"/>
  <c r="R1145" i="3" s="1"/>
  <c r="H1145" i="3"/>
  <c r="G1146" i="3"/>
  <c r="R1146" i="3" s="1"/>
  <c r="H1146" i="3"/>
  <c r="G1147" i="3"/>
  <c r="R1147" i="3" s="1"/>
  <c r="H1147" i="3"/>
  <c r="G1148" i="3"/>
  <c r="R1148" i="3" s="1"/>
  <c r="H1148" i="3"/>
  <c r="G1149" i="3"/>
  <c r="R1149" i="3" s="1"/>
  <c r="H1149" i="3"/>
  <c r="G1150" i="3"/>
  <c r="H1150" i="3"/>
  <c r="G1151" i="3"/>
  <c r="H1151" i="3"/>
  <c r="G1152" i="3"/>
  <c r="H1152" i="3"/>
  <c r="G1153" i="3"/>
  <c r="H1153" i="3"/>
  <c r="G1154" i="3"/>
  <c r="H1154" i="3"/>
  <c r="G1155" i="3"/>
  <c r="H1155" i="3"/>
  <c r="G1156" i="3"/>
  <c r="H1156" i="3"/>
  <c r="G1157" i="3"/>
  <c r="R1157" i="3" s="1"/>
  <c r="H1157" i="3"/>
  <c r="G1158" i="3"/>
  <c r="R1158" i="3" s="1"/>
  <c r="H1158" i="3"/>
  <c r="G1159" i="3"/>
  <c r="R1159" i="3" s="1"/>
  <c r="H1159" i="3"/>
  <c r="G1160" i="3"/>
  <c r="R1160" i="3" s="1"/>
  <c r="H1160" i="3"/>
  <c r="G1161" i="3"/>
  <c r="R1161" i="3" s="1"/>
  <c r="H1161" i="3"/>
  <c r="G1162" i="3"/>
  <c r="H1162" i="3"/>
  <c r="G1163" i="3"/>
  <c r="H1163" i="3"/>
  <c r="G1164" i="3"/>
  <c r="H1164" i="3"/>
  <c r="G1165" i="3"/>
  <c r="H1165" i="3"/>
  <c r="G1166" i="3"/>
  <c r="H1166" i="3"/>
  <c r="G1167" i="3"/>
  <c r="H1167" i="3"/>
  <c r="G1168" i="3"/>
  <c r="H1168" i="3"/>
  <c r="G1137" i="3"/>
  <c r="R1137" i="3" s="1"/>
  <c r="H1137" i="3"/>
  <c r="G1138" i="3"/>
  <c r="R1138" i="3" s="1"/>
  <c r="H1138" i="3"/>
  <c r="G1139" i="3"/>
  <c r="H1139" i="3"/>
  <c r="G1116" i="3"/>
  <c r="H1116" i="3"/>
  <c r="I1116" i="3"/>
  <c r="G1117" i="3"/>
  <c r="H1117" i="3"/>
  <c r="I1117" i="3"/>
  <c r="G1118" i="3"/>
  <c r="R1118" i="3" s="1"/>
  <c r="H1118" i="3"/>
  <c r="I1118" i="3"/>
  <c r="G1119" i="3"/>
  <c r="R1119" i="3" s="1"/>
  <c r="H1119" i="3"/>
  <c r="I1119" i="3"/>
  <c r="G1120" i="3"/>
  <c r="R1120" i="3" s="1"/>
  <c r="H1120" i="3"/>
  <c r="I1120" i="3"/>
  <c r="G1121" i="3"/>
  <c r="H1121" i="3"/>
  <c r="I1121" i="3"/>
  <c r="G1122" i="3"/>
  <c r="R1122" i="3" s="1"/>
  <c r="H1122" i="3"/>
  <c r="I1122" i="3"/>
  <c r="G1123" i="3"/>
  <c r="R1123" i="3" s="1"/>
  <c r="H1123" i="3"/>
  <c r="I1123" i="3"/>
  <c r="G1124" i="3"/>
  <c r="R1124" i="3" s="1"/>
  <c r="H1124" i="3"/>
  <c r="I1124" i="3"/>
  <c r="G1125" i="3"/>
  <c r="H1125" i="3"/>
  <c r="I1125" i="3"/>
  <c r="G1126" i="3"/>
  <c r="R1126" i="3" s="1"/>
  <c r="H1126" i="3"/>
  <c r="I1126" i="3"/>
  <c r="G1127" i="3"/>
  <c r="H1127" i="3"/>
  <c r="I1127" i="3"/>
  <c r="G1128" i="3"/>
  <c r="H1128" i="3"/>
  <c r="I1128" i="3"/>
  <c r="G1129" i="3"/>
  <c r="H1129" i="3"/>
  <c r="I1129" i="3"/>
  <c r="G1130" i="3"/>
  <c r="R1130" i="3" s="1"/>
  <c r="H1130" i="3"/>
  <c r="I1130" i="3"/>
  <c r="G1131" i="3"/>
  <c r="R1131" i="3" s="1"/>
  <c r="H1131" i="3"/>
  <c r="I1131" i="3"/>
  <c r="G1132" i="3"/>
  <c r="R1132" i="3" s="1"/>
  <c r="H1132" i="3"/>
  <c r="I1132" i="3"/>
  <c r="G1133" i="3"/>
  <c r="H1133" i="3"/>
  <c r="I1133" i="3"/>
  <c r="G1134" i="3"/>
  <c r="R1134" i="3" s="1"/>
  <c r="H1134" i="3"/>
  <c r="I1134" i="3"/>
  <c r="G1135" i="3"/>
  <c r="R1135" i="3" s="1"/>
  <c r="H1135" i="3"/>
  <c r="I1135" i="3"/>
  <c r="G1136" i="3"/>
  <c r="R1136" i="3" s="1"/>
  <c r="H1136" i="3"/>
  <c r="I1136" i="3"/>
  <c r="G1114" i="3"/>
  <c r="R1114" i="3" s="1"/>
  <c r="H1114" i="3"/>
  <c r="I1114" i="3"/>
  <c r="G1115" i="3"/>
  <c r="H1115" i="3"/>
  <c r="I1115" i="3"/>
  <c r="G1086" i="3"/>
  <c r="R1086" i="3" s="1"/>
  <c r="H1086" i="3"/>
  <c r="I1086" i="3"/>
  <c r="G1087" i="3"/>
  <c r="R1087" i="3" s="1"/>
  <c r="H1087" i="3"/>
  <c r="I1087" i="3"/>
  <c r="G1088" i="3"/>
  <c r="H1088" i="3"/>
  <c r="I1088" i="3"/>
  <c r="G1089" i="3"/>
  <c r="R1089" i="3" s="1"/>
  <c r="H1089" i="3"/>
  <c r="I1089" i="3"/>
  <c r="G1090" i="3"/>
  <c r="R1090" i="3" s="1"/>
  <c r="H1090" i="3"/>
  <c r="I1090" i="3"/>
  <c r="G1091" i="3"/>
  <c r="H1091" i="3"/>
  <c r="I1091" i="3"/>
  <c r="G1092" i="3"/>
  <c r="H1092" i="3"/>
  <c r="I1092" i="3"/>
  <c r="G1093" i="3"/>
  <c r="R1093" i="3" s="1"/>
  <c r="H1093" i="3"/>
  <c r="I1093" i="3"/>
  <c r="G1094" i="3"/>
  <c r="H1094" i="3"/>
  <c r="I1094" i="3"/>
  <c r="G1095" i="3"/>
  <c r="H1095" i="3"/>
  <c r="I1095" i="3"/>
  <c r="G1096" i="3"/>
  <c r="H1096" i="3"/>
  <c r="I1096" i="3"/>
  <c r="G1097" i="3"/>
  <c r="R1097" i="3" s="1"/>
  <c r="H1097" i="3"/>
  <c r="I1097" i="3"/>
  <c r="G1098" i="3"/>
  <c r="R1098" i="3" s="1"/>
  <c r="H1098" i="3"/>
  <c r="I1098" i="3"/>
  <c r="G1099" i="3"/>
  <c r="R1099" i="3" s="1"/>
  <c r="H1099" i="3"/>
  <c r="I1099" i="3"/>
  <c r="G1100" i="3"/>
  <c r="H1100" i="3"/>
  <c r="I1100" i="3"/>
  <c r="G1101" i="3"/>
  <c r="R1101" i="3" s="1"/>
  <c r="H1101" i="3"/>
  <c r="I1101" i="3"/>
  <c r="G1102" i="3"/>
  <c r="R1102" i="3" s="1"/>
  <c r="H1102" i="3"/>
  <c r="I1102" i="3"/>
  <c r="G1103" i="3"/>
  <c r="H1103" i="3"/>
  <c r="I1103" i="3"/>
  <c r="G1104" i="3"/>
  <c r="H1104" i="3"/>
  <c r="I1104" i="3"/>
  <c r="G1105" i="3"/>
  <c r="R1105" i="3" s="1"/>
  <c r="H1105" i="3"/>
  <c r="I1105" i="3"/>
  <c r="G1106" i="3"/>
  <c r="H1106" i="3"/>
  <c r="I1106" i="3"/>
  <c r="G1107" i="3"/>
  <c r="H1107" i="3"/>
  <c r="I1107" i="3"/>
  <c r="G1108" i="3"/>
  <c r="H1108" i="3"/>
  <c r="I1108" i="3"/>
  <c r="G1109" i="3"/>
  <c r="R1109" i="3" s="1"/>
  <c r="H1109" i="3"/>
  <c r="I1109" i="3"/>
  <c r="G1110" i="3"/>
  <c r="R1110" i="3" s="1"/>
  <c r="H1110" i="3"/>
  <c r="I1110" i="3"/>
  <c r="G1111" i="3"/>
  <c r="R1111" i="3" s="1"/>
  <c r="H1111" i="3"/>
  <c r="I1111" i="3"/>
  <c r="G1112" i="3"/>
  <c r="H1112" i="3"/>
  <c r="I1112" i="3"/>
  <c r="G1113" i="3"/>
  <c r="R1113" i="3" s="1"/>
  <c r="H1113" i="3"/>
  <c r="I1113" i="3"/>
  <c r="G1084" i="3"/>
  <c r="H1084" i="3"/>
  <c r="I1084" i="3"/>
  <c r="G1085" i="3"/>
  <c r="H1085" i="3"/>
  <c r="I1085" i="3"/>
  <c r="G1082" i="3"/>
  <c r="H1082" i="3"/>
  <c r="I1082" i="3"/>
  <c r="G1083" i="3"/>
  <c r="H1083" i="3"/>
  <c r="I1083" i="3"/>
  <c r="G1058" i="3"/>
  <c r="R1058" i="3" s="1"/>
  <c r="H1058" i="3"/>
  <c r="I1058" i="3"/>
  <c r="G1059" i="3"/>
  <c r="R1059" i="3" s="1"/>
  <c r="H1059" i="3"/>
  <c r="I1059" i="3"/>
  <c r="G1060" i="3"/>
  <c r="R1060" i="3" s="1"/>
  <c r="H1060" i="3"/>
  <c r="I1060" i="3"/>
  <c r="G1061" i="3"/>
  <c r="H1061" i="3"/>
  <c r="I1061" i="3"/>
  <c r="G1062" i="3"/>
  <c r="R1062" i="3" s="1"/>
  <c r="H1062" i="3"/>
  <c r="I1062" i="3"/>
  <c r="G1063" i="3"/>
  <c r="H1063" i="3"/>
  <c r="I1063" i="3"/>
  <c r="G1064" i="3"/>
  <c r="R1064" i="3" s="1"/>
  <c r="H1064" i="3"/>
  <c r="I1064" i="3"/>
  <c r="G1065" i="3"/>
  <c r="H1065" i="3"/>
  <c r="I1065" i="3"/>
  <c r="G1066" i="3"/>
  <c r="R1066" i="3" s="1"/>
  <c r="H1066" i="3"/>
  <c r="I1066" i="3"/>
  <c r="G1067" i="3"/>
  <c r="H1067" i="3"/>
  <c r="I1067" i="3"/>
  <c r="G1068" i="3"/>
  <c r="H1068" i="3"/>
  <c r="I1068" i="3"/>
  <c r="G1069" i="3"/>
  <c r="H1069" i="3"/>
  <c r="I1069" i="3"/>
  <c r="G1070" i="3"/>
  <c r="R1070" i="3" s="1"/>
  <c r="H1070" i="3"/>
  <c r="I1070" i="3"/>
  <c r="G1071" i="3"/>
  <c r="R1071" i="3" s="1"/>
  <c r="H1071" i="3"/>
  <c r="I1071" i="3"/>
  <c r="G1072" i="3"/>
  <c r="R1072" i="3" s="1"/>
  <c r="H1072" i="3"/>
  <c r="I1072" i="3"/>
  <c r="G1073" i="3"/>
  <c r="H1073" i="3"/>
  <c r="I1073" i="3"/>
  <c r="G1074" i="3"/>
  <c r="R1074" i="3" s="1"/>
  <c r="H1074" i="3"/>
  <c r="I1074" i="3"/>
  <c r="G1075" i="3"/>
  <c r="R1075" i="3" s="1"/>
  <c r="H1075" i="3"/>
  <c r="I1075" i="3"/>
  <c r="G1076" i="3"/>
  <c r="R1076" i="3" s="1"/>
  <c r="H1076" i="3"/>
  <c r="I1076" i="3"/>
  <c r="G1077" i="3"/>
  <c r="R1077" i="3" s="1"/>
  <c r="H1077" i="3"/>
  <c r="I1077" i="3"/>
  <c r="G1078" i="3"/>
  <c r="R1078" i="3" s="1"/>
  <c r="H1078" i="3"/>
  <c r="I1078" i="3"/>
  <c r="G1079" i="3"/>
  <c r="H1079" i="3"/>
  <c r="I1079" i="3"/>
  <c r="G1080" i="3"/>
  <c r="H1080" i="3"/>
  <c r="I1080" i="3"/>
  <c r="G1081" i="3"/>
  <c r="H1081" i="3"/>
  <c r="I1081" i="3"/>
  <c r="G1055" i="3"/>
  <c r="G1056" i="3"/>
  <c r="H1056" i="3"/>
  <c r="I1056" i="3"/>
  <c r="G1057" i="3"/>
  <c r="H1057" i="3"/>
  <c r="I1057" i="3"/>
  <c r="G1044" i="3"/>
  <c r="H1044" i="3"/>
  <c r="I1044" i="3"/>
  <c r="G1045" i="3"/>
  <c r="H1045" i="3"/>
  <c r="I1045" i="3"/>
  <c r="G1046" i="3"/>
  <c r="R1046" i="3" s="1"/>
  <c r="H1046" i="3"/>
  <c r="I1046" i="3"/>
  <c r="G1047" i="3"/>
  <c r="R1047" i="3" s="1"/>
  <c r="H1047" i="3"/>
  <c r="I1047" i="3"/>
  <c r="G1048" i="3"/>
  <c r="H1048" i="3"/>
  <c r="I1048" i="3"/>
  <c r="G1049" i="3"/>
  <c r="H1049" i="3"/>
  <c r="I1049" i="3"/>
  <c r="G1050" i="3"/>
  <c r="R1050" i="3" s="1"/>
  <c r="H1050" i="3"/>
  <c r="I1050" i="3"/>
  <c r="G1051" i="3"/>
  <c r="R1051" i="3" s="1"/>
  <c r="H1051" i="3"/>
  <c r="I1051" i="3"/>
  <c r="G1052" i="3"/>
  <c r="H1052" i="3"/>
  <c r="I1052" i="3"/>
  <c r="G1053" i="3"/>
  <c r="R1053" i="3" s="1"/>
  <c r="H1053" i="3"/>
  <c r="I1053" i="3"/>
  <c r="G1054" i="3"/>
  <c r="R1054" i="3" s="1"/>
  <c r="H1054" i="3"/>
  <c r="I1054" i="3"/>
  <c r="H1055" i="3"/>
  <c r="I1055" i="3"/>
  <c r="G1042" i="3"/>
  <c r="R1042" i="3" s="1"/>
  <c r="H1042" i="3"/>
  <c r="I1042" i="3"/>
  <c r="G1043" i="3"/>
  <c r="H1043" i="3"/>
  <c r="I1043" i="3"/>
  <c r="G1018" i="3"/>
  <c r="R1018" i="3" s="1"/>
  <c r="H1018" i="3"/>
  <c r="I1018" i="3"/>
  <c r="G1019" i="3"/>
  <c r="H1019" i="3"/>
  <c r="I1019" i="3"/>
  <c r="G1020" i="3"/>
  <c r="H1020" i="3"/>
  <c r="I1020" i="3"/>
  <c r="G1021" i="3"/>
  <c r="H1021" i="3"/>
  <c r="I1021" i="3"/>
  <c r="G1022" i="3"/>
  <c r="R1022" i="3" s="1"/>
  <c r="H1022" i="3"/>
  <c r="I1022" i="3"/>
  <c r="G1023" i="3"/>
  <c r="H1023" i="3"/>
  <c r="I1023" i="3"/>
  <c r="G1024" i="3"/>
  <c r="H1024" i="3"/>
  <c r="I1024" i="3"/>
  <c r="G1025" i="3"/>
  <c r="H1025" i="3"/>
  <c r="I1025" i="3"/>
  <c r="G1026" i="3"/>
  <c r="R1026" i="3" s="1"/>
  <c r="H1026" i="3"/>
  <c r="I1026" i="3"/>
  <c r="G1027" i="3"/>
  <c r="R1027" i="3" s="1"/>
  <c r="H1027" i="3"/>
  <c r="I1027" i="3"/>
  <c r="G1028" i="3"/>
  <c r="R1028" i="3" s="1"/>
  <c r="H1028" i="3"/>
  <c r="I1028" i="3"/>
  <c r="G1029" i="3"/>
  <c r="H1029" i="3"/>
  <c r="I1029" i="3"/>
  <c r="G1030" i="3"/>
  <c r="R1030" i="3" s="1"/>
  <c r="H1030" i="3"/>
  <c r="I1030" i="3"/>
  <c r="G1031" i="3"/>
  <c r="H1031" i="3"/>
  <c r="I1031" i="3"/>
  <c r="G1032" i="3"/>
  <c r="H1032" i="3"/>
  <c r="I1032" i="3"/>
  <c r="G1033" i="3"/>
  <c r="H1033" i="3"/>
  <c r="I1033" i="3"/>
  <c r="G1034" i="3"/>
  <c r="R1034" i="3" s="1"/>
  <c r="H1034" i="3"/>
  <c r="I1034" i="3"/>
  <c r="G1035" i="3"/>
  <c r="H1035" i="3"/>
  <c r="I1035" i="3"/>
  <c r="G1036" i="3"/>
  <c r="H1036" i="3"/>
  <c r="I1036" i="3"/>
  <c r="G1037" i="3"/>
  <c r="H1037" i="3"/>
  <c r="I1037" i="3"/>
  <c r="G1038" i="3"/>
  <c r="R1038" i="3" s="1"/>
  <c r="H1038" i="3"/>
  <c r="I1038" i="3"/>
  <c r="G1039" i="3"/>
  <c r="R1039" i="3" s="1"/>
  <c r="H1039" i="3"/>
  <c r="I1039" i="3"/>
  <c r="G1040" i="3"/>
  <c r="R1040" i="3" s="1"/>
  <c r="H1040" i="3"/>
  <c r="I1040" i="3"/>
  <c r="G1041" i="3"/>
  <c r="H1041" i="3"/>
  <c r="I1041" i="3"/>
  <c r="G1016" i="3"/>
  <c r="R1016" i="3" s="1"/>
  <c r="H1016" i="3"/>
  <c r="I1016" i="3"/>
  <c r="G1017" i="3"/>
  <c r="R1017" i="3" s="1"/>
  <c r="H1017" i="3"/>
  <c r="I1017" i="3"/>
  <c r="G990" i="3"/>
  <c r="H990" i="3"/>
  <c r="I990" i="3"/>
  <c r="G991" i="3"/>
  <c r="R991" i="3" s="1"/>
  <c r="H991" i="3"/>
  <c r="I991" i="3"/>
  <c r="G992" i="3"/>
  <c r="R992" i="3" s="1"/>
  <c r="H992" i="3"/>
  <c r="I992" i="3"/>
  <c r="G993" i="3"/>
  <c r="R993" i="3" s="1"/>
  <c r="H993" i="3"/>
  <c r="I993" i="3"/>
  <c r="G994" i="3"/>
  <c r="H994" i="3"/>
  <c r="I994" i="3"/>
  <c r="G995" i="3"/>
  <c r="H995" i="3"/>
  <c r="I995" i="3"/>
  <c r="G996" i="3"/>
  <c r="H996" i="3"/>
  <c r="I996" i="3"/>
  <c r="G997" i="3"/>
  <c r="H997" i="3"/>
  <c r="I997" i="3"/>
  <c r="G998" i="3"/>
  <c r="H998" i="3"/>
  <c r="I998" i="3"/>
  <c r="G999" i="3"/>
  <c r="R999" i="3" s="1"/>
  <c r="H999" i="3"/>
  <c r="I999" i="3"/>
  <c r="G1000" i="3"/>
  <c r="R1000" i="3" s="1"/>
  <c r="H1000" i="3"/>
  <c r="I1000" i="3"/>
  <c r="G1001" i="3"/>
  <c r="H1001" i="3"/>
  <c r="I1001" i="3"/>
  <c r="G1002" i="3"/>
  <c r="H1002" i="3"/>
  <c r="I1002" i="3"/>
  <c r="G1003" i="3"/>
  <c r="R1003" i="3" s="1"/>
  <c r="H1003" i="3"/>
  <c r="I1003" i="3"/>
  <c r="G1004" i="3"/>
  <c r="R1004" i="3" s="1"/>
  <c r="H1004" i="3"/>
  <c r="I1004" i="3"/>
  <c r="G1005" i="3"/>
  <c r="R1005" i="3" s="1"/>
  <c r="H1005" i="3"/>
  <c r="I1005" i="3"/>
  <c r="G1006" i="3"/>
  <c r="H1006" i="3"/>
  <c r="I1006" i="3"/>
  <c r="G1007" i="3"/>
  <c r="H1007" i="3"/>
  <c r="I1007" i="3"/>
  <c r="G1008" i="3"/>
  <c r="H1008" i="3"/>
  <c r="I1008" i="3"/>
  <c r="G1009" i="3"/>
  <c r="H1009" i="3"/>
  <c r="I1009" i="3"/>
  <c r="G1010" i="3"/>
  <c r="H1010" i="3"/>
  <c r="I1010" i="3"/>
  <c r="G1011" i="3"/>
  <c r="R1011" i="3" s="1"/>
  <c r="H1011" i="3"/>
  <c r="I1011" i="3"/>
  <c r="G1012" i="3"/>
  <c r="R1012" i="3" s="1"/>
  <c r="H1012" i="3"/>
  <c r="I1012" i="3"/>
  <c r="G1013" i="3"/>
  <c r="H1013" i="3"/>
  <c r="I1013" i="3"/>
  <c r="G1014" i="3"/>
  <c r="H1014" i="3"/>
  <c r="I1014" i="3"/>
  <c r="G1015" i="3"/>
  <c r="R1015" i="3" s="1"/>
  <c r="H1015" i="3"/>
  <c r="I1015" i="3"/>
  <c r="G988" i="3"/>
  <c r="R988" i="3" s="1"/>
  <c r="H988" i="3"/>
  <c r="I988" i="3"/>
  <c r="G989" i="3"/>
  <c r="H989" i="3"/>
  <c r="I989" i="3"/>
  <c r="G975" i="3"/>
  <c r="H975" i="3"/>
  <c r="I975" i="3"/>
  <c r="G976" i="3"/>
  <c r="R976" i="3" s="1"/>
  <c r="H976" i="3"/>
  <c r="I976" i="3"/>
  <c r="G977" i="3"/>
  <c r="R977" i="3" s="1"/>
  <c r="H977" i="3"/>
  <c r="I977" i="3"/>
  <c r="G978" i="3"/>
  <c r="H978" i="3"/>
  <c r="I978" i="3"/>
  <c r="G979" i="3"/>
  <c r="H979" i="3"/>
  <c r="I979" i="3"/>
  <c r="G980" i="3"/>
  <c r="R980" i="3" s="1"/>
  <c r="H980" i="3"/>
  <c r="I980" i="3"/>
  <c r="G981" i="3"/>
  <c r="R981" i="3" s="1"/>
  <c r="H981" i="3"/>
  <c r="I981" i="3"/>
  <c r="G982" i="3"/>
  <c r="R982" i="3" s="1"/>
  <c r="H982" i="3"/>
  <c r="I982" i="3"/>
  <c r="G983" i="3"/>
  <c r="H983" i="3"/>
  <c r="I983" i="3"/>
  <c r="G984" i="3"/>
  <c r="H984" i="3"/>
  <c r="I984" i="3"/>
  <c r="G985" i="3"/>
  <c r="H985" i="3"/>
  <c r="I985" i="3"/>
  <c r="G986" i="3"/>
  <c r="H986" i="3"/>
  <c r="I986" i="3"/>
  <c r="G987" i="3"/>
  <c r="H987" i="3"/>
  <c r="I987" i="3"/>
  <c r="G972" i="3"/>
  <c r="H972" i="3"/>
  <c r="I972" i="3"/>
  <c r="G973" i="3"/>
  <c r="H973" i="3"/>
  <c r="I973" i="3"/>
  <c r="G974" i="3"/>
  <c r="H974" i="3"/>
  <c r="I974" i="3"/>
  <c r="G970" i="3"/>
  <c r="H970" i="3"/>
  <c r="I970" i="3"/>
  <c r="G971" i="3"/>
  <c r="H971" i="3"/>
  <c r="I971" i="3"/>
  <c r="G948" i="3"/>
  <c r="H948" i="3"/>
  <c r="I948" i="3"/>
  <c r="G949" i="3"/>
  <c r="H949" i="3"/>
  <c r="I949" i="3"/>
  <c r="G950" i="3"/>
  <c r="H950" i="3"/>
  <c r="I950" i="3"/>
  <c r="G951" i="3"/>
  <c r="R951" i="3" s="1"/>
  <c r="H951" i="3"/>
  <c r="I951" i="3"/>
  <c r="G952" i="3"/>
  <c r="R952" i="3" s="1"/>
  <c r="H952" i="3"/>
  <c r="I952" i="3"/>
  <c r="G953" i="3"/>
  <c r="H953" i="3"/>
  <c r="I953" i="3"/>
  <c r="G954" i="3"/>
  <c r="H954" i="3"/>
  <c r="I954" i="3"/>
  <c r="G955" i="3"/>
  <c r="R955" i="3" s="1"/>
  <c r="H955" i="3"/>
  <c r="I955" i="3"/>
  <c r="G956" i="3"/>
  <c r="R956" i="3" s="1"/>
  <c r="H956" i="3"/>
  <c r="I956" i="3"/>
  <c r="G957" i="3"/>
  <c r="R957" i="3" s="1"/>
  <c r="H957" i="3"/>
  <c r="I957" i="3"/>
  <c r="G958" i="3"/>
  <c r="H958" i="3"/>
  <c r="I958" i="3"/>
  <c r="G959" i="3"/>
  <c r="H959" i="3"/>
  <c r="I959" i="3"/>
  <c r="G960" i="3"/>
  <c r="H960" i="3"/>
  <c r="I960" i="3"/>
  <c r="G961" i="3"/>
  <c r="H961" i="3"/>
  <c r="I961" i="3"/>
  <c r="G962" i="3"/>
  <c r="H962" i="3"/>
  <c r="I962" i="3"/>
  <c r="G963" i="3"/>
  <c r="R963" i="3" s="1"/>
  <c r="H963" i="3"/>
  <c r="I963" i="3"/>
  <c r="G964" i="3"/>
  <c r="R964" i="3" s="1"/>
  <c r="H964" i="3"/>
  <c r="I964" i="3"/>
  <c r="G965" i="3"/>
  <c r="H965" i="3"/>
  <c r="I965" i="3"/>
  <c r="G966" i="3"/>
  <c r="H966" i="3"/>
  <c r="I966" i="3"/>
  <c r="G967" i="3"/>
  <c r="R967" i="3" s="1"/>
  <c r="H967" i="3"/>
  <c r="I967" i="3"/>
  <c r="G968" i="3"/>
  <c r="R968" i="3" s="1"/>
  <c r="H968" i="3"/>
  <c r="I968" i="3"/>
  <c r="G969" i="3"/>
  <c r="R969" i="3" s="1"/>
  <c r="H969" i="3"/>
  <c r="I969" i="3"/>
  <c r="G946" i="3"/>
  <c r="H946" i="3"/>
  <c r="I946" i="3"/>
  <c r="G947" i="3"/>
  <c r="H947" i="3"/>
  <c r="I947" i="3"/>
  <c r="G915" i="3"/>
  <c r="H915" i="3"/>
  <c r="I915" i="3"/>
  <c r="G916" i="3"/>
  <c r="H916" i="3"/>
  <c r="I916" i="3"/>
  <c r="G917" i="3"/>
  <c r="H917" i="3"/>
  <c r="I917" i="3"/>
  <c r="G918" i="3"/>
  <c r="R918" i="3" s="1"/>
  <c r="H918" i="3"/>
  <c r="I918" i="3"/>
  <c r="G919" i="3"/>
  <c r="R919" i="3" s="1"/>
  <c r="H919" i="3"/>
  <c r="I919" i="3"/>
  <c r="G920" i="3"/>
  <c r="R920" i="3" s="1"/>
  <c r="H920" i="3"/>
  <c r="I920" i="3"/>
  <c r="G921" i="3"/>
  <c r="H921" i="3"/>
  <c r="I921" i="3"/>
  <c r="G922" i="3"/>
  <c r="R922" i="3" s="1"/>
  <c r="H922" i="3"/>
  <c r="I922" i="3"/>
  <c r="G923" i="3"/>
  <c r="H923" i="3"/>
  <c r="I923" i="3"/>
  <c r="G924" i="3"/>
  <c r="H924" i="3"/>
  <c r="I924" i="3"/>
  <c r="G925" i="3"/>
  <c r="H925" i="3"/>
  <c r="I925" i="3"/>
  <c r="G926" i="3"/>
  <c r="R926" i="3" s="1"/>
  <c r="H926" i="3"/>
  <c r="I926" i="3"/>
  <c r="G927" i="3"/>
  <c r="H927" i="3"/>
  <c r="I927" i="3"/>
  <c r="G928" i="3"/>
  <c r="H928" i="3"/>
  <c r="I928" i="3"/>
  <c r="G929" i="3"/>
  <c r="H929" i="3"/>
  <c r="I929" i="3"/>
  <c r="G930" i="3"/>
  <c r="R930" i="3" s="1"/>
  <c r="H930" i="3"/>
  <c r="I930" i="3"/>
  <c r="G931" i="3"/>
  <c r="R931" i="3" s="1"/>
  <c r="H931" i="3"/>
  <c r="I931" i="3"/>
  <c r="G932" i="3"/>
  <c r="R932" i="3" s="1"/>
  <c r="H932" i="3"/>
  <c r="I932" i="3"/>
  <c r="G933" i="3"/>
  <c r="H933" i="3"/>
  <c r="I933" i="3"/>
  <c r="G934" i="3"/>
  <c r="R934" i="3" s="1"/>
  <c r="H934" i="3"/>
  <c r="I934" i="3"/>
  <c r="G935" i="3"/>
  <c r="H935" i="3"/>
  <c r="I935" i="3"/>
  <c r="G936" i="3"/>
  <c r="H936" i="3"/>
  <c r="I936" i="3"/>
  <c r="G937" i="3"/>
  <c r="H937" i="3"/>
  <c r="I937" i="3"/>
  <c r="G938" i="3"/>
  <c r="R938" i="3" s="1"/>
  <c r="H938" i="3"/>
  <c r="I938" i="3"/>
  <c r="G939" i="3"/>
  <c r="H939" i="3"/>
  <c r="I939" i="3"/>
  <c r="G940" i="3"/>
  <c r="H940" i="3"/>
  <c r="I940" i="3"/>
  <c r="G941" i="3"/>
  <c r="H941" i="3"/>
  <c r="I941" i="3"/>
  <c r="G942" i="3"/>
  <c r="R942" i="3" s="1"/>
  <c r="H942" i="3"/>
  <c r="I942" i="3"/>
  <c r="G943" i="3"/>
  <c r="R943" i="3" s="1"/>
  <c r="H943" i="3"/>
  <c r="I943" i="3"/>
  <c r="G944" i="3"/>
  <c r="R944" i="3" s="1"/>
  <c r="H944" i="3"/>
  <c r="I944" i="3"/>
  <c r="G945" i="3"/>
  <c r="H945" i="3"/>
  <c r="I945" i="3"/>
  <c r="G913" i="3"/>
  <c r="R913" i="3" s="1"/>
  <c r="H913" i="3"/>
  <c r="I913" i="3"/>
  <c r="G914" i="3"/>
  <c r="H914" i="3"/>
  <c r="I914" i="3"/>
  <c r="G892" i="3"/>
  <c r="H892" i="3"/>
  <c r="I892" i="3"/>
  <c r="G893" i="3"/>
  <c r="H893" i="3"/>
  <c r="I893" i="3"/>
  <c r="G894" i="3"/>
  <c r="R894" i="3" s="1"/>
  <c r="H894" i="3"/>
  <c r="I894" i="3"/>
  <c r="G895" i="3"/>
  <c r="H895" i="3"/>
  <c r="I895" i="3"/>
  <c r="G896" i="3"/>
  <c r="R896" i="3" s="1"/>
  <c r="H896" i="3"/>
  <c r="I896" i="3"/>
  <c r="G897" i="3"/>
  <c r="R897" i="3" s="1"/>
  <c r="H897" i="3"/>
  <c r="I897" i="3"/>
  <c r="G898" i="3"/>
  <c r="R898" i="3" s="1"/>
  <c r="H898" i="3"/>
  <c r="I898" i="3"/>
  <c r="G899" i="3"/>
  <c r="H899" i="3"/>
  <c r="I899" i="3"/>
  <c r="G900" i="3"/>
  <c r="H900" i="3"/>
  <c r="I900" i="3"/>
  <c r="G901" i="3"/>
  <c r="H901" i="3"/>
  <c r="I901" i="3"/>
  <c r="G902" i="3"/>
  <c r="R902" i="3" s="1"/>
  <c r="H902" i="3"/>
  <c r="I902" i="3"/>
  <c r="G903" i="3"/>
  <c r="H903" i="3"/>
  <c r="I903" i="3"/>
  <c r="G904" i="3"/>
  <c r="H904" i="3"/>
  <c r="I904" i="3"/>
  <c r="G905" i="3"/>
  <c r="H905" i="3"/>
  <c r="I905" i="3"/>
  <c r="G906" i="3"/>
  <c r="R906" i="3" s="1"/>
  <c r="H906" i="3"/>
  <c r="I906" i="3"/>
  <c r="G907" i="3"/>
  <c r="R907" i="3" s="1"/>
  <c r="H907" i="3"/>
  <c r="I907" i="3"/>
  <c r="G908" i="3"/>
  <c r="R908" i="3" s="1"/>
  <c r="H908" i="3"/>
  <c r="I908" i="3"/>
  <c r="G909" i="3"/>
  <c r="R909" i="3" s="1"/>
  <c r="H909" i="3"/>
  <c r="I909" i="3"/>
  <c r="G910" i="3"/>
  <c r="R910" i="3" s="1"/>
  <c r="H910" i="3"/>
  <c r="I910" i="3"/>
  <c r="G911" i="3"/>
  <c r="H911" i="3"/>
  <c r="I911" i="3"/>
  <c r="G912" i="3"/>
  <c r="H912" i="3"/>
  <c r="I912" i="3"/>
  <c r="G890" i="3"/>
  <c r="H890" i="3"/>
  <c r="I890" i="3"/>
  <c r="G891" i="3"/>
  <c r="R891" i="3" s="1"/>
  <c r="H891" i="3"/>
  <c r="I891" i="3"/>
  <c r="G859" i="3"/>
  <c r="H859" i="3"/>
  <c r="I859" i="3"/>
  <c r="G860" i="3"/>
  <c r="R860" i="3" s="1"/>
  <c r="H860" i="3"/>
  <c r="I860" i="3"/>
  <c r="G861" i="3"/>
  <c r="H861" i="3"/>
  <c r="I861" i="3"/>
  <c r="G862" i="3"/>
  <c r="R862" i="3" s="1"/>
  <c r="H862" i="3"/>
  <c r="I862" i="3"/>
  <c r="G863" i="3"/>
  <c r="H863" i="3"/>
  <c r="I863" i="3"/>
  <c r="G864" i="3"/>
  <c r="H864" i="3"/>
  <c r="I864" i="3"/>
  <c r="G865" i="3"/>
  <c r="H865" i="3"/>
  <c r="I865" i="3"/>
  <c r="G866" i="3"/>
  <c r="R866" i="3" s="1"/>
  <c r="H866" i="3"/>
  <c r="I866" i="3"/>
  <c r="G867" i="3"/>
  <c r="H867" i="3"/>
  <c r="I867" i="3"/>
  <c r="G868" i="3"/>
  <c r="H868" i="3"/>
  <c r="I868" i="3"/>
  <c r="G869" i="3"/>
  <c r="H869" i="3"/>
  <c r="I869" i="3"/>
  <c r="G870" i="3"/>
  <c r="R870" i="3" s="1"/>
  <c r="H870" i="3"/>
  <c r="I870" i="3"/>
  <c r="G871" i="3"/>
  <c r="H871" i="3"/>
  <c r="I871" i="3"/>
  <c r="G872" i="3"/>
  <c r="R872" i="3" s="1"/>
  <c r="H872" i="3"/>
  <c r="I872" i="3"/>
  <c r="G873" i="3"/>
  <c r="H873" i="3"/>
  <c r="I873" i="3"/>
  <c r="G874" i="3"/>
  <c r="R874" i="3" s="1"/>
  <c r="H874" i="3"/>
  <c r="I874" i="3"/>
  <c r="G875" i="3"/>
  <c r="H875" i="3"/>
  <c r="I875" i="3"/>
  <c r="G876" i="3"/>
  <c r="H876" i="3"/>
  <c r="I876" i="3"/>
  <c r="G877" i="3"/>
  <c r="H877" i="3"/>
  <c r="I877" i="3"/>
  <c r="G878" i="3"/>
  <c r="R878" i="3" s="1"/>
  <c r="H878" i="3"/>
  <c r="I878" i="3"/>
  <c r="G879" i="3"/>
  <c r="H879" i="3"/>
  <c r="I879" i="3"/>
  <c r="G880" i="3"/>
  <c r="H880" i="3"/>
  <c r="I880" i="3"/>
  <c r="G881" i="3"/>
  <c r="H881" i="3"/>
  <c r="I881" i="3"/>
  <c r="G882" i="3"/>
  <c r="R882" i="3" s="1"/>
  <c r="H882" i="3"/>
  <c r="I882" i="3"/>
  <c r="G883" i="3"/>
  <c r="R883" i="3" s="1"/>
  <c r="H883" i="3"/>
  <c r="I883" i="3"/>
  <c r="G884" i="3"/>
  <c r="R884" i="3" s="1"/>
  <c r="H884" i="3"/>
  <c r="I884" i="3"/>
  <c r="G885" i="3"/>
  <c r="H885" i="3"/>
  <c r="I885" i="3"/>
  <c r="G886" i="3"/>
  <c r="R886" i="3" s="1"/>
  <c r="H886" i="3"/>
  <c r="I886" i="3"/>
  <c r="G887" i="3"/>
  <c r="H887" i="3"/>
  <c r="I887" i="3"/>
  <c r="G888" i="3"/>
  <c r="H888" i="3"/>
  <c r="I888" i="3"/>
  <c r="G889" i="3"/>
  <c r="H889" i="3"/>
  <c r="I889" i="3"/>
  <c r="G857" i="3"/>
  <c r="R857" i="3" s="1"/>
  <c r="H857" i="3"/>
  <c r="I857" i="3"/>
  <c r="G858" i="3"/>
  <c r="H858" i="3"/>
  <c r="I858" i="3"/>
  <c r="G822" i="3"/>
  <c r="H822" i="3"/>
  <c r="I822" i="3"/>
  <c r="G823" i="3"/>
  <c r="H823" i="3"/>
  <c r="I823" i="3"/>
  <c r="G824" i="3"/>
  <c r="R824" i="3" s="1"/>
  <c r="H824" i="3"/>
  <c r="I824" i="3"/>
  <c r="G825" i="3"/>
  <c r="R825" i="3" s="1"/>
  <c r="H825" i="3"/>
  <c r="I825" i="3"/>
  <c r="G826" i="3"/>
  <c r="R826" i="3" s="1"/>
  <c r="H826" i="3"/>
  <c r="I826" i="3"/>
  <c r="G827" i="3"/>
  <c r="H827" i="3"/>
  <c r="I827" i="3"/>
  <c r="G828" i="3"/>
  <c r="H828" i="3"/>
  <c r="I828" i="3"/>
  <c r="G829" i="3"/>
  <c r="H829" i="3"/>
  <c r="I829" i="3"/>
  <c r="G830" i="3"/>
  <c r="H830" i="3"/>
  <c r="I830" i="3"/>
  <c r="G831" i="3"/>
  <c r="H831" i="3"/>
  <c r="I831" i="3"/>
  <c r="G832" i="3"/>
  <c r="R832" i="3" s="1"/>
  <c r="H832" i="3"/>
  <c r="I832" i="3"/>
  <c r="G833" i="3"/>
  <c r="H833" i="3"/>
  <c r="I833" i="3"/>
  <c r="G834" i="3"/>
  <c r="H834" i="3"/>
  <c r="I834" i="3"/>
  <c r="G835" i="3"/>
  <c r="H835" i="3"/>
  <c r="I835" i="3"/>
  <c r="G836" i="3"/>
  <c r="R836" i="3" s="1"/>
  <c r="H836" i="3"/>
  <c r="I836" i="3"/>
  <c r="G837" i="3"/>
  <c r="R837" i="3" s="1"/>
  <c r="H837" i="3"/>
  <c r="I837" i="3"/>
  <c r="G838" i="3"/>
  <c r="R838" i="3" s="1"/>
  <c r="H838" i="3"/>
  <c r="I838" i="3"/>
  <c r="G839" i="3"/>
  <c r="H839" i="3"/>
  <c r="I839" i="3"/>
  <c r="G840" i="3"/>
  <c r="H840" i="3"/>
  <c r="I840" i="3"/>
  <c r="G841" i="3"/>
  <c r="H841" i="3"/>
  <c r="I841" i="3"/>
  <c r="G842" i="3"/>
  <c r="R842" i="3" s="1"/>
  <c r="H842" i="3"/>
  <c r="I842" i="3"/>
  <c r="G843" i="3"/>
  <c r="H843" i="3"/>
  <c r="I843" i="3"/>
  <c r="G844" i="3"/>
  <c r="R844" i="3" s="1"/>
  <c r="H844" i="3"/>
  <c r="I844" i="3"/>
  <c r="G845" i="3"/>
  <c r="H845" i="3"/>
  <c r="I845" i="3"/>
  <c r="G846" i="3"/>
  <c r="H846" i="3"/>
  <c r="I846" i="3"/>
  <c r="G847" i="3"/>
  <c r="R847" i="3" s="1"/>
  <c r="H847" i="3"/>
  <c r="I847" i="3"/>
  <c r="G848" i="3"/>
  <c r="R848" i="3" s="1"/>
  <c r="H848" i="3"/>
  <c r="I848" i="3"/>
  <c r="G849" i="3"/>
  <c r="H849" i="3"/>
  <c r="I849" i="3"/>
  <c r="G850" i="3"/>
  <c r="R850" i="3" s="1"/>
  <c r="H850" i="3"/>
  <c r="I850" i="3"/>
  <c r="G851" i="3"/>
  <c r="H851" i="3"/>
  <c r="I851" i="3"/>
  <c r="G852" i="3"/>
  <c r="H852" i="3"/>
  <c r="I852" i="3"/>
  <c r="G853" i="3"/>
  <c r="H853" i="3"/>
  <c r="I853" i="3"/>
  <c r="G854" i="3"/>
  <c r="R854" i="3" s="1"/>
  <c r="H854" i="3"/>
  <c r="I854" i="3"/>
  <c r="G855" i="3"/>
  <c r="H855" i="3"/>
  <c r="I855" i="3"/>
  <c r="G856" i="3"/>
  <c r="R856" i="3" s="1"/>
  <c r="H856" i="3"/>
  <c r="I856" i="3"/>
  <c r="G820" i="3"/>
  <c r="H820" i="3"/>
  <c r="I820" i="3"/>
  <c r="G821" i="3"/>
  <c r="H821" i="3"/>
  <c r="I821" i="3"/>
  <c r="G802" i="3"/>
  <c r="H802" i="3"/>
  <c r="I802" i="3"/>
  <c r="G803" i="3"/>
  <c r="H803" i="3"/>
  <c r="I803" i="3"/>
  <c r="G804" i="3"/>
  <c r="H804" i="3"/>
  <c r="I804" i="3"/>
  <c r="G805" i="3"/>
  <c r="H805" i="3"/>
  <c r="I805" i="3"/>
  <c r="G806" i="3"/>
  <c r="H806" i="3"/>
  <c r="I806" i="3"/>
  <c r="G807" i="3"/>
  <c r="H807" i="3"/>
  <c r="I807" i="3"/>
  <c r="G808" i="3"/>
  <c r="H808" i="3"/>
  <c r="I808" i="3"/>
  <c r="G809" i="3"/>
  <c r="R809" i="3" s="1"/>
  <c r="H809" i="3"/>
  <c r="I809" i="3"/>
  <c r="G810" i="3"/>
  <c r="H810" i="3"/>
  <c r="I810" i="3"/>
  <c r="G811" i="3"/>
  <c r="R811" i="3" s="1"/>
  <c r="H811" i="3"/>
  <c r="I811" i="3"/>
  <c r="G812" i="3"/>
  <c r="R812" i="3" s="1"/>
  <c r="H812" i="3"/>
  <c r="I812" i="3"/>
  <c r="G813" i="3"/>
  <c r="R813" i="3" s="1"/>
  <c r="H813" i="3"/>
  <c r="I813" i="3"/>
  <c r="G814" i="3"/>
  <c r="H814" i="3"/>
  <c r="I814" i="3"/>
  <c r="G815" i="3"/>
  <c r="H815" i="3"/>
  <c r="I815" i="3"/>
  <c r="G816" i="3"/>
  <c r="H816" i="3"/>
  <c r="I816" i="3"/>
  <c r="G817" i="3"/>
  <c r="H817" i="3"/>
  <c r="I817" i="3"/>
  <c r="G818" i="3"/>
  <c r="H818" i="3"/>
  <c r="I818" i="3"/>
  <c r="G819" i="3"/>
  <c r="H819" i="3"/>
  <c r="I819" i="3"/>
  <c r="G791" i="3"/>
  <c r="H791" i="3"/>
  <c r="I791" i="3"/>
  <c r="G792" i="3"/>
  <c r="H792" i="3"/>
  <c r="I792" i="3"/>
  <c r="G793" i="3"/>
  <c r="H793" i="3"/>
  <c r="I793" i="3"/>
  <c r="G794" i="3"/>
  <c r="H794" i="3"/>
  <c r="I794" i="3"/>
  <c r="G795" i="3"/>
  <c r="R795" i="3" s="1"/>
  <c r="H795" i="3"/>
  <c r="I795" i="3"/>
  <c r="G796" i="3"/>
  <c r="H796" i="3"/>
  <c r="I796" i="3"/>
  <c r="G797" i="3"/>
  <c r="H797" i="3"/>
  <c r="I797" i="3"/>
  <c r="G798" i="3"/>
  <c r="R798" i="3" s="1"/>
  <c r="H798" i="3"/>
  <c r="I798" i="3"/>
  <c r="G799" i="3"/>
  <c r="R799" i="3" s="1"/>
  <c r="H799" i="3"/>
  <c r="I799" i="3"/>
  <c r="G800" i="3"/>
  <c r="R800" i="3" s="1"/>
  <c r="H800" i="3"/>
  <c r="I800" i="3"/>
  <c r="G801" i="3"/>
  <c r="H801" i="3"/>
  <c r="I801" i="3"/>
  <c r="G789" i="3"/>
  <c r="H789" i="3"/>
  <c r="I789" i="3"/>
  <c r="G790" i="3"/>
  <c r="H790" i="3"/>
  <c r="I790" i="3"/>
  <c r="G782" i="3"/>
  <c r="R782" i="3" s="1"/>
  <c r="H782" i="3"/>
  <c r="I782" i="3"/>
  <c r="G783" i="3"/>
  <c r="H783" i="3"/>
  <c r="I783" i="3"/>
  <c r="G784" i="3"/>
  <c r="H784" i="3"/>
  <c r="I784" i="3"/>
  <c r="G785" i="3"/>
  <c r="R785" i="3" s="1"/>
  <c r="H785" i="3"/>
  <c r="I785" i="3"/>
  <c r="G786" i="3"/>
  <c r="R786" i="3" s="1"/>
  <c r="H786" i="3"/>
  <c r="I786" i="3"/>
  <c r="G787" i="3"/>
  <c r="H787" i="3"/>
  <c r="I787" i="3"/>
  <c r="G788" i="3"/>
  <c r="H788" i="3"/>
  <c r="I788" i="3"/>
  <c r="G750" i="3"/>
  <c r="R750" i="3" s="1"/>
  <c r="H750" i="3"/>
  <c r="I750" i="3"/>
  <c r="G751" i="3"/>
  <c r="H751" i="3"/>
  <c r="I751" i="3"/>
  <c r="G752" i="3"/>
  <c r="H752" i="3"/>
  <c r="I752" i="3"/>
  <c r="G753" i="3"/>
  <c r="H753" i="3"/>
  <c r="I753" i="3"/>
  <c r="G754" i="3"/>
  <c r="R754" i="3" s="1"/>
  <c r="H754" i="3"/>
  <c r="I754" i="3"/>
  <c r="G755" i="3"/>
  <c r="R755" i="3" s="1"/>
  <c r="H755" i="3"/>
  <c r="I755" i="3"/>
  <c r="G756" i="3"/>
  <c r="H756" i="3"/>
  <c r="I756" i="3"/>
  <c r="G757" i="3"/>
  <c r="R757" i="3" s="1"/>
  <c r="H757" i="3"/>
  <c r="I757" i="3"/>
  <c r="G758" i="3"/>
  <c r="R758" i="3" s="1"/>
  <c r="H758" i="3"/>
  <c r="I758" i="3"/>
  <c r="G759" i="3"/>
  <c r="H759" i="3"/>
  <c r="I759" i="3"/>
  <c r="G760" i="3"/>
  <c r="H760" i="3"/>
  <c r="I760" i="3"/>
  <c r="G761" i="3"/>
  <c r="H761" i="3"/>
  <c r="I761" i="3"/>
  <c r="G762" i="3"/>
  <c r="H762" i="3"/>
  <c r="I762" i="3"/>
  <c r="G763" i="3"/>
  <c r="H763" i="3"/>
  <c r="I763" i="3"/>
  <c r="G764" i="3"/>
  <c r="H764" i="3"/>
  <c r="I764" i="3"/>
  <c r="G765" i="3"/>
  <c r="H765" i="3"/>
  <c r="I765" i="3"/>
  <c r="G766" i="3"/>
  <c r="R766" i="3" s="1"/>
  <c r="H766" i="3"/>
  <c r="I766" i="3"/>
  <c r="G767" i="3"/>
  <c r="R767" i="3" s="1"/>
  <c r="H767" i="3"/>
  <c r="I767" i="3"/>
  <c r="G768" i="3"/>
  <c r="H768" i="3"/>
  <c r="I768" i="3"/>
  <c r="G769" i="3"/>
  <c r="R769" i="3" s="1"/>
  <c r="H769" i="3"/>
  <c r="I769" i="3"/>
  <c r="G770" i="3"/>
  <c r="R770" i="3" s="1"/>
  <c r="H770" i="3"/>
  <c r="I770" i="3"/>
  <c r="G771" i="3"/>
  <c r="R771" i="3" s="1"/>
  <c r="H771" i="3"/>
  <c r="I771" i="3"/>
  <c r="G772" i="3"/>
  <c r="H772" i="3"/>
  <c r="I772" i="3"/>
  <c r="G773" i="3"/>
  <c r="H773" i="3"/>
  <c r="I773" i="3"/>
  <c r="G774" i="3"/>
  <c r="H774" i="3"/>
  <c r="I774" i="3"/>
  <c r="G775" i="3"/>
  <c r="H775" i="3"/>
  <c r="I775" i="3"/>
  <c r="G776" i="3"/>
  <c r="H776" i="3"/>
  <c r="I776" i="3"/>
  <c r="G777" i="3"/>
  <c r="H777" i="3"/>
  <c r="I777" i="3"/>
  <c r="G778" i="3"/>
  <c r="R778" i="3" s="1"/>
  <c r="H778" i="3"/>
  <c r="I778" i="3"/>
  <c r="G779" i="3"/>
  <c r="H779" i="3"/>
  <c r="I779" i="3"/>
  <c r="G780" i="3"/>
  <c r="H780" i="3"/>
  <c r="I780" i="3"/>
  <c r="G781" i="3"/>
  <c r="H781" i="3"/>
  <c r="I781" i="3"/>
  <c r="G743" i="3"/>
  <c r="H743" i="3"/>
  <c r="I743" i="3"/>
  <c r="G744" i="3"/>
  <c r="R744" i="3" s="1"/>
  <c r="H744" i="3"/>
  <c r="I744" i="3"/>
  <c r="G745" i="3"/>
  <c r="H745" i="3"/>
  <c r="I745" i="3"/>
  <c r="G746" i="3"/>
  <c r="H746" i="3"/>
  <c r="I746" i="3"/>
  <c r="G747" i="3"/>
  <c r="H747" i="3"/>
  <c r="I747" i="3"/>
  <c r="G748" i="3"/>
  <c r="H748" i="3"/>
  <c r="I748" i="3"/>
  <c r="G749" i="3"/>
  <c r="H749" i="3"/>
  <c r="I749" i="3"/>
  <c r="G716" i="3"/>
  <c r="H716" i="3"/>
  <c r="I716" i="3"/>
  <c r="G717" i="3"/>
  <c r="H717" i="3"/>
  <c r="I717" i="3"/>
  <c r="G718" i="3"/>
  <c r="H718" i="3"/>
  <c r="I718" i="3"/>
  <c r="G719" i="3"/>
  <c r="H719" i="3"/>
  <c r="I719" i="3"/>
  <c r="G720" i="3"/>
  <c r="H720" i="3"/>
  <c r="I720" i="3"/>
  <c r="G721" i="3"/>
  <c r="H721" i="3"/>
  <c r="I721" i="3"/>
  <c r="G722" i="3"/>
  <c r="H722" i="3"/>
  <c r="I722" i="3"/>
  <c r="G723" i="3"/>
  <c r="H723" i="3"/>
  <c r="I723" i="3"/>
  <c r="G724" i="3"/>
  <c r="H724" i="3"/>
  <c r="I724" i="3"/>
  <c r="G725" i="3"/>
  <c r="R725" i="3" s="1"/>
  <c r="H725" i="3"/>
  <c r="I725" i="3"/>
  <c r="G726" i="3"/>
  <c r="R726" i="3" s="1"/>
  <c r="H726" i="3"/>
  <c r="I726" i="3"/>
  <c r="G727" i="3"/>
  <c r="H727" i="3"/>
  <c r="I727" i="3"/>
  <c r="G728" i="3"/>
  <c r="H728" i="3"/>
  <c r="I728" i="3"/>
  <c r="G729" i="3"/>
  <c r="R729" i="3" s="1"/>
  <c r="H729" i="3"/>
  <c r="I729" i="3"/>
  <c r="G730" i="3"/>
  <c r="R730" i="3" s="1"/>
  <c r="H730" i="3"/>
  <c r="I730" i="3"/>
  <c r="G731" i="3"/>
  <c r="H731" i="3"/>
  <c r="I731" i="3"/>
  <c r="G732" i="3"/>
  <c r="H732" i="3"/>
  <c r="I732" i="3"/>
  <c r="G733" i="3"/>
  <c r="H733" i="3"/>
  <c r="I733" i="3"/>
  <c r="G734" i="3"/>
  <c r="H734" i="3"/>
  <c r="I734" i="3"/>
  <c r="G735" i="3"/>
  <c r="H735" i="3"/>
  <c r="I735" i="3"/>
  <c r="G736" i="3"/>
  <c r="H736" i="3"/>
  <c r="I736" i="3"/>
  <c r="G737" i="3"/>
  <c r="R737" i="3" s="1"/>
  <c r="H737" i="3"/>
  <c r="I737" i="3"/>
  <c r="G738" i="3"/>
  <c r="R738" i="3" s="1"/>
  <c r="H738" i="3"/>
  <c r="I738" i="3"/>
  <c r="G739" i="3"/>
  <c r="H739" i="3"/>
  <c r="I739" i="3"/>
  <c r="G740" i="3"/>
  <c r="H740" i="3"/>
  <c r="I740" i="3"/>
  <c r="G741" i="3"/>
  <c r="R741" i="3" s="1"/>
  <c r="H741" i="3"/>
  <c r="I741" i="3"/>
  <c r="G742" i="3"/>
  <c r="R742" i="3" s="1"/>
  <c r="H742" i="3"/>
  <c r="I742" i="3"/>
  <c r="G714" i="3"/>
  <c r="H714" i="3"/>
  <c r="I714" i="3"/>
  <c r="G715" i="3"/>
  <c r="H715" i="3"/>
  <c r="I715" i="3"/>
  <c r="G680" i="3"/>
  <c r="H680" i="3"/>
  <c r="I680" i="3"/>
  <c r="G681" i="3"/>
  <c r="R681" i="3" s="1"/>
  <c r="H681" i="3"/>
  <c r="I681" i="3"/>
  <c r="G682" i="3"/>
  <c r="H682" i="3"/>
  <c r="I682" i="3"/>
  <c r="G683" i="3"/>
  <c r="H683" i="3"/>
  <c r="I683" i="3"/>
  <c r="G684" i="3"/>
  <c r="H684" i="3"/>
  <c r="I684" i="3"/>
  <c r="G685" i="3"/>
  <c r="H685" i="3"/>
  <c r="I685" i="3"/>
  <c r="G686" i="3"/>
  <c r="H686" i="3"/>
  <c r="I686" i="3"/>
  <c r="G687" i="3"/>
  <c r="H687" i="3"/>
  <c r="I687" i="3"/>
  <c r="G688" i="3"/>
  <c r="H688" i="3"/>
  <c r="I688" i="3"/>
  <c r="G689" i="3"/>
  <c r="H689" i="3"/>
  <c r="I689" i="3"/>
  <c r="G690" i="3"/>
  <c r="H690" i="3"/>
  <c r="I690" i="3"/>
  <c r="G691" i="3"/>
  <c r="H691" i="3"/>
  <c r="I691" i="3"/>
  <c r="G692" i="3"/>
  <c r="H692" i="3"/>
  <c r="I692" i="3"/>
  <c r="G693" i="3"/>
  <c r="R693" i="3" s="1"/>
  <c r="H693" i="3"/>
  <c r="I693" i="3"/>
  <c r="G694" i="3"/>
  <c r="H694" i="3"/>
  <c r="I694" i="3"/>
  <c r="G695" i="3"/>
  <c r="H695" i="3"/>
  <c r="I695" i="3"/>
  <c r="G696" i="3"/>
  <c r="H696" i="3"/>
  <c r="I696" i="3"/>
  <c r="G697" i="3"/>
  <c r="H697" i="3"/>
  <c r="I697" i="3"/>
  <c r="G698" i="3"/>
  <c r="R698" i="3" s="1"/>
  <c r="H698" i="3"/>
  <c r="I698" i="3"/>
  <c r="G699" i="3"/>
  <c r="H699" i="3"/>
  <c r="I699" i="3"/>
  <c r="G700" i="3"/>
  <c r="H700" i="3"/>
  <c r="I700" i="3"/>
  <c r="G701" i="3"/>
  <c r="H701" i="3"/>
  <c r="I701" i="3"/>
  <c r="G702" i="3"/>
  <c r="H702" i="3"/>
  <c r="I702" i="3"/>
  <c r="G703" i="3"/>
  <c r="H703" i="3"/>
  <c r="I703" i="3"/>
  <c r="G704" i="3"/>
  <c r="H704" i="3"/>
  <c r="I704" i="3"/>
  <c r="G705" i="3"/>
  <c r="H705" i="3"/>
  <c r="I705" i="3"/>
  <c r="G706" i="3"/>
  <c r="H706" i="3"/>
  <c r="I706" i="3"/>
  <c r="G707" i="3"/>
  <c r="H707" i="3"/>
  <c r="I707" i="3"/>
  <c r="G708" i="3"/>
  <c r="H708" i="3"/>
  <c r="I708" i="3"/>
  <c r="G709" i="3"/>
  <c r="H709" i="3"/>
  <c r="I709" i="3"/>
  <c r="G710" i="3"/>
  <c r="H710" i="3"/>
  <c r="I710" i="3"/>
  <c r="G711" i="3"/>
  <c r="H711" i="3"/>
  <c r="I711" i="3"/>
  <c r="G712" i="3"/>
  <c r="H712" i="3"/>
  <c r="I712" i="3"/>
  <c r="G713" i="3"/>
  <c r="H713" i="3"/>
  <c r="I713" i="3"/>
  <c r="G678" i="3"/>
  <c r="H678" i="3"/>
  <c r="I678" i="3"/>
  <c r="G679" i="3"/>
  <c r="H679" i="3"/>
  <c r="I679" i="3"/>
  <c r="G3" i="3"/>
  <c r="H3" i="3"/>
  <c r="I3" i="3"/>
  <c r="G4" i="3"/>
  <c r="H4" i="3"/>
  <c r="I4" i="3"/>
  <c r="G5" i="3"/>
  <c r="H5" i="3"/>
  <c r="I5" i="3"/>
  <c r="G6" i="3"/>
  <c r="H6" i="3"/>
  <c r="I6" i="3"/>
  <c r="G7" i="3"/>
  <c r="H7" i="3"/>
  <c r="I7" i="3"/>
  <c r="G8" i="3"/>
  <c r="H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G22" i="3"/>
  <c r="H22" i="3"/>
  <c r="I22" i="3"/>
  <c r="G23" i="3"/>
  <c r="H23" i="3"/>
  <c r="I23" i="3"/>
  <c r="G24" i="3"/>
  <c r="H24" i="3"/>
  <c r="I24" i="3"/>
  <c r="G25" i="3"/>
  <c r="H25" i="3"/>
  <c r="I25" i="3"/>
  <c r="G26" i="3"/>
  <c r="H26" i="3"/>
  <c r="I26" i="3"/>
  <c r="G27" i="3"/>
  <c r="H27" i="3"/>
  <c r="I27" i="3"/>
  <c r="G28" i="3"/>
  <c r="H28" i="3"/>
  <c r="I28" i="3"/>
  <c r="G29" i="3"/>
  <c r="H29" i="3"/>
  <c r="I29" i="3"/>
  <c r="G30" i="3"/>
  <c r="H30" i="3"/>
  <c r="I30" i="3"/>
  <c r="G31" i="3"/>
  <c r="H31" i="3"/>
  <c r="I31" i="3"/>
  <c r="G32" i="3"/>
  <c r="H32" i="3"/>
  <c r="I32" i="3"/>
  <c r="G33" i="3"/>
  <c r="R33" i="3" s="1"/>
  <c r="H33" i="3"/>
  <c r="I33" i="3"/>
  <c r="G34" i="3"/>
  <c r="H34" i="3"/>
  <c r="I34" i="3"/>
  <c r="G35" i="3"/>
  <c r="H35" i="3"/>
  <c r="I35" i="3"/>
  <c r="G36" i="3"/>
  <c r="H36" i="3"/>
  <c r="I36" i="3"/>
  <c r="G37" i="3"/>
  <c r="H37" i="3"/>
  <c r="I37" i="3"/>
  <c r="G38" i="3"/>
  <c r="H38" i="3"/>
  <c r="I38" i="3"/>
  <c r="G39" i="3"/>
  <c r="H39" i="3"/>
  <c r="I39" i="3"/>
  <c r="G40" i="3"/>
  <c r="H40" i="3"/>
  <c r="I40" i="3"/>
  <c r="G41" i="3"/>
  <c r="H41" i="3"/>
  <c r="I41" i="3"/>
  <c r="G42" i="3"/>
  <c r="H42" i="3"/>
  <c r="I42" i="3"/>
  <c r="G43" i="3"/>
  <c r="H43" i="3"/>
  <c r="I43" i="3"/>
  <c r="G44" i="3"/>
  <c r="H44" i="3"/>
  <c r="I44" i="3"/>
  <c r="G45" i="3"/>
  <c r="R45" i="3" s="1"/>
  <c r="H45" i="3"/>
  <c r="I45" i="3"/>
  <c r="G46" i="3"/>
  <c r="H46" i="3"/>
  <c r="I46" i="3"/>
  <c r="G47" i="3"/>
  <c r="H47" i="3"/>
  <c r="I47" i="3"/>
  <c r="G48" i="3"/>
  <c r="H48" i="3"/>
  <c r="I48" i="3"/>
  <c r="G49" i="3"/>
  <c r="H49" i="3"/>
  <c r="I49" i="3"/>
  <c r="G50" i="3"/>
  <c r="H50" i="3"/>
  <c r="I50" i="3"/>
  <c r="G51" i="3"/>
  <c r="H51" i="3"/>
  <c r="I51" i="3"/>
  <c r="G52" i="3"/>
  <c r="H52" i="3"/>
  <c r="I52" i="3"/>
  <c r="G53" i="3"/>
  <c r="H53" i="3"/>
  <c r="I53" i="3"/>
  <c r="G54" i="3"/>
  <c r="H54" i="3"/>
  <c r="I54" i="3"/>
  <c r="G55" i="3"/>
  <c r="H55" i="3"/>
  <c r="I55" i="3"/>
  <c r="G56" i="3"/>
  <c r="H56" i="3"/>
  <c r="I56" i="3"/>
  <c r="G57" i="3"/>
  <c r="H57" i="3"/>
  <c r="I57" i="3"/>
  <c r="G58" i="3"/>
  <c r="H58" i="3"/>
  <c r="I58" i="3"/>
  <c r="G59" i="3"/>
  <c r="H59" i="3"/>
  <c r="I59" i="3"/>
  <c r="G60" i="3"/>
  <c r="H60" i="3"/>
  <c r="I60" i="3"/>
  <c r="G61" i="3"/>
  <c r="H61" i="3"/>
  <c r="I61" i="3"/>
  <c r="G62" i="3"/>
  <c r="H62" i="3"/>
  <c r="I62" i="3"/>
  <c r="G63" i="3"/>
  <c r="H63" i="3"/>
  <c r="I63" i="3"/>
  <c r="G64" i="3"/>
  <c r="H64" i="3"/>
  <c r="I64" i="3"/>
  <c r="G65" i="3"/>
  <c r="H65" i="3"/>
  <c r="I65" i="3"/>
  <c r="G66" i="3"/>
  <c r="H66" i="3"/>
  <c r="I66" i="3"/>
  <c r="G67" i="3"/>
  <c r="H67" i="3"/>
  <c r="I67" i="3"/>
  <c r="G68" i="3"/>
  <c r="H68" i="3"/>
  <c r="I68" i="3"/>
  <c r="G69" i="3"/>
  <c r="H69" i="3"/>
  <c r="I69" i="3"/>
  <c r="G70" i="3"/>
  <c r="H70" i="3"/>
  <c r="I70" i="3"/>
  <c r="G71" i="3"/>
  <c r="H71" i="3"/>
  <c r="I71" i="3"/>
  <c r="G72" i="3"/>
  <c r="H72" i="3"/>
  <c r="I72" i="3"/>
  <c r="G73" i="3"/>
  <c r="H73" i="3"/>
  <c r="I73" i="3"/>
  <c r="G74" i="3"/>
  <c r="H74" i="3"/>
  <c r="I74" i="3"/>
  <c r="G75" i="3"/>
  <c r="H75" i="3"/>
  <c r="I75" i="3"/>
  <c r="G76" i="3"/>
  <c r="H76" i="3"/>
  <c r="I76" i="3"/>
  <c r="G77" i="3"/>
  <c r="H77" i="3"/>
  <c r="I77" i="3"/>
  <c r="G78" i="3"/>
  <c r="H78" i="3"/>
  <c r="I78" i="3"/>
  <c r="G79" i="3"/>
  <c r="H79" i="3"/>
  <c r="I79" i="3"/>
  <c r="G80" i="3"/>
  <c r="H80" i="3"/>
  <c r="I80" i="3"/>
  <c r="G81" i="3"/>
  <c r="H81" i="3"/>
  <c r="I81" i="3"/>
  <c r="G82" i="3"/>
  <c r="H82" i="3"/>
  <c r="I82" i="3"/>
  <c r="G83" i="3"/>
  <c r="H83" i="3"/>
  <c r="I83" i="3"/>
  <c r="G84" i="3"/>
  <c r="H84" i="3"/>
  <c r="I84" i="3"/>
  <c r="G85" i="3"/>
  <c r="H85" i="3"/>
  <c r="I85" i="3"/>
  <c r="G86" i="3"/>
  <c r="H86" i="3"/>
  <c r="I86" i="3"/>
  <c r="G87" i="3"/>
  <c r="H87" i="3"/>
  <c r="I87" i="3"/>
  <c r="G88" i="3"/>
  <c r="H88" i="3"/>
  <c r="I88" i="3"/>
  <c r="G89" i="3"/>
  <c r="H89" i="3"/>
  <c r="I89" i="3"/>
  <c r="G90" i="3"/>
  <c r="H90" i="3"/>
  <c r="I90" i="3"/>
  <c r="G91" i="3"/>
  <c r="H91" i="3"/>
  <c r="I91" i="3"/>
  <c r="G92" i="3"/>
  <c r="H92" i="3"/>
  <c r="I92" i="3"/>
  <c r="G93" i="3"/>
  <c r="H93" i="3"/>
  <c r="I93" i="3"/>
  <c r="G94" i="3"/>
  <c r="H94" i="3"/>
  <c r="I94" i="3"/>
  <c r="G95" i="3"/>
  <c r="H95" i="3"/>
  <c r="I95" i="3"/>
  <c r="G96" i="3"/>
  <c r="H96" i="3"/>
  <c r="I96" i="3"/>
  <c r="G97" i="3"/>
  <c r="H97" i="3"/>
  <c r="I97" i="3"/>
  <c r="G98" i="3"/>
  <c r="H98" i="3"/>
  <c r="I98" i="3"/>
  <c r="G99" i="3"/>
  <c r="H99" i="3"/>
  <c r="I99" i="3"/>
  <c r="G100" i="3"/>
  <c r="H100" i="3"/>
  <c r="I100" i="3"/>
  <c r="G101" i="3"/>
  <c r="H101" i="3"/>
  <c r="I101" i="3"/>
  <c r="G102" i="3"/>
  <c r="H102" i="3"/>
  <c r="I102" i="3"/>
  <c r="G103" i="3"/>
  <c r="H103" i="3"/>
  <c r="I103" i="3"/>
  <c r="G104" i="3"/>
  <c r="H104" i="3"/>
  <c r="I104" i="3"/>
  <c r="G105" i="3"/>
  <c r="R105" i="3" s="1"/>
  <c r="H105" i="3"/>
  <c r="I105" i="3"/>
  <c r="G106" i="3"/>
  <c r="H106" i="3"/>
  <c r="I106" i="3"/>
  <c r="G107" i="3"/>
  <c r="H107" i="3"/>
  <c r="I107" i="3"/>
  <c r="G108" i="3"/>
  <c r="H108" i="3"/>
  <c r="I108" i="3"/>
  <c r="G109" i="3"/>
  <c r="H109" i="3"/>
  <c r="I109" i="3"/>
  <c r="G110" i="3"/>
  <c r="H110" i="3"/>
  <c r="I110" i="3"/>
  <c r="G111" i="3"/>
  <c r="H111" i="3"/>
  <c r="I111" i="3"/>
  <c r="G112" i="3"/>
  <c r="H112" i="3"/>
  <c r="G113" i="3"/>
  <c r="H113" i="3"/>
  <c r="G114" i="3"/>
  <c r="H114" i="3"/>
  <c r="G115" i="3"/>
  <c r="H115" i="3"/>
  <c r="G116" i="3"/>
  <c r="H116" i="3"/>
  <c r="G117" i="3"/>
  <c r="R117" i="3" s="1"/>
  <c r="H117" i="3"/>
  <c r="G118" i="3"/>
  <c r="R118" i="3" s="1"/>
  <c r="H118" i="3"/>
  <c r="G119" i="3"/>
  <c r="H119" i="3"/>
  <c r="G120" i="3"/>
  <c r="H120" i="3"/>
  <c r="I120" i="3"/>
  <c r="G121" i="3"/>
  <c r="H121" i="3"/>
  <c r="I121" i="3"/>
  <c r="G122" i="3"/>
  <c r="R122" i="3" s="1"/>
  <c r="H122" i="3"/>
  <c r="I122" i="3"/>
  <c r="G123" i="3"/>
  <c r="H123" i="3"/>
  <c r="I123" i="3"/>
  <c r="G124" i="3"/>
  <c r="H124" i="3"/>
  <c r="I124" i="3"/>
  <c r="G125" i="3"/>
  <c r="H125" i="3"/>
  <c r="I125" i="3"/>
  <c r="G126" i="3"/>
  <c r="H126" i="3"/>
  <c r="I126" i="3"/>
  <c r="G127" i="3"/>
  <c r="H127" i="3"/>
  <c r="I127" i="3"/>
  <c r="G128" i="3"/>
  <c r="H128" i="3"/>
  <c r="I128" i="3"/>
  <c r="G129" i="3"/>
  <c r="H129" i="3"/>
  <c r="I129" i="3"/>
  <c r="G130" i="3"/>
  <c r="H130" i="3"/>
  <c r="I130" i="3"/>
  <c r="G131" i="3"/>
  <c r="H131" i="3"/>
  <c r="I131" i="3"/>
  <c r="G132" i="3"/>
  <c r="H132" i="3"/>
  <c r="I132" i="3"/>
  <c r="G133" i="3"/>
  <c r="H133" i="3"/>
  <c r="I133" i="3"/>
  <c r="G134" i="3"/>
  <c r="R134" i="3" s="1"/>
  <c r="H134" i="3"/>
  <c r="I134" i="3"/>
  <c r="G135" i="3"/>
  <c r="H135" i="3"/>
  <c r="I135" i="3"/>
  <c r="G136" i="3"/>
  <c r="H136" i="3"/>
  <c r="I136" i="3"/>
  <c r="G137" i="3"/>
  <c r="H137" i="3"/>
  <c r="I137" i="3"/>
  <c r="G138" i="3"/>
  <c r="H138" i="3"/>
  <c r="I138" i="3"/>
  <c r="G139" i="3"/>
  <c r="H139" i="3"/>
  <c r="I139" i="3"/>
  <c r="G140" i="3"/>
  <c r="H140" i="3"/>
  <c r="I140" i="3"/>
  <c r="G141" i="3"/>
  <c r="R141" i="3" s="1"/>
  <c r="H141" i="3"/>
  <c r="I141" i="3"/>
  <c r="G142" i="3"/>
  <c r="H142" i="3"/>
  <c r="I142" i="3"/>
  <c r="G143" i="3"/>
  <c r="H143" i="3"/>
  <c r="I143" i="3"/>
  <c r="G144" i="3"/>
  <c r="H144" i="3"/>
  <c r="I144" i="3"/>
  <c r="G145" i="3"/>
  <c r="H145" i="3"/>
  <c r="I145" i="3"/>
  <c r="G146" i="3"/>
  <c r="H146" i="3"/>
  <c r="I146" i="3"/>
  <c r="G147" i="3"/>
  <c r="H147" i="3"/>
  <c r="I147" i="3"/>
  <c r="G148" i="3"/>
  <c r="H148" i="3"/>
  <c r="I148" i="3"/>
  <c r="G149" i="3"/>
  <c r="H149" i="3"/>
  <c r="I149" i="3"/>
  <c r="G150" i="3"/>
  <c r="H150" i="3"/>
  <c r="I150" i="3"/>
  <c r="G151" i="3"/>
  <c r="H151" i="3"/>
  <c r="I151" i="3"/>
  <c r="G152" i="3"/>
  <c r="H152" i="3"/>
  <c r="I152" i="3"/>
  <c r="G153" i="3"/>
  <c r="R153" i="3" s="1"/>
  <c r="H153" i="3"/>
  <c r="I153" i="3"/>
  <c r="G154" i="3"/>
  <c r="R154" i="3" s="1"/>
  <c r="H154" i="3"/>
  <c r="I154" i="3"/>
  <c r="G155" i="3"/>
  <c r="H155" i="3"/>
  <c r="I155" i="3"/>
  <c r="G156" i="3"/>
  <c r="H156" i="3"/>
  <c r="I156" i="3"/>
  <c r="G157" i="3"/>
  <c r="H157" i="3"/>
  <c r="I157" i="3"/>
  <c r="G158" i="3"/>
  <c r="H158" i="3"/>
  <c r="I158" i="3"/>
  <c r="G159" i="3"/>
  <c r="H159" i="3"/>
  <c r="I159" i="3"/>
  <c r="G160" i="3"/>
  <c r="H160" i="3"/>
  <c r="I160" i="3"/>
  <c r="G161" i="3"/>
  <c r="H161" i="3"/>
  <c r="I161" i="3"/>
  <c r="G162" i="3"/>
  <c r="H162" i="3"/>
  <c r="I162" i="3"/>
  <c r="G163" i="3"/>
  <c r="H163" i="3"/>
  <c r="I163" i="3"/>
  <c r="G164" i="3"/>
  <c r="H164" i="3"/>
  <c r="I164" i="3"/>
  <c r="G165" i="3"/>
  <c r="R165" i="3" s="1"/>
  <c r="H165" i="3"/>
  <c r="I165" i="3"/>
  <c r="G166" i="3"/>
  <c r="R166" i="3" s="1"/>
  <c r="H166" i="3"/>
  <c r="I166" i="3"/>
  <c r="G167" i="3"/>
  <c r="H167" i="3"/>
  <c r="I167" i="3"/>
  <c r="G168" i="3"/>
  <c r="H168" i="3"/>
  <c r="I168" i="3"/>
  <c r="G169" i="3"/>
  <c r="H169" i="3"/>
  <c r="I169" i="3"/>
  <c r="G170" i="3"/>
  <c r="H170" i="3"/>
  <c r="I170" i="3"/>
  <c r="G171" i="3"/>
  <c r="H171" i="3"/>
  <c r="I171" i="3"/>
  <c r="G172" i="3"/>
  <c r="H172" i="3"/>
  <c r="I172" i="3"/>
  <c r="G173" i="3"/>
  <c r="H173" i="3"/>
  <c r="I173" i="3"/>
  <c r="G174" i="3"/>
  <c r="H174" i="3"/>
  <c r="I174" i="3"/>
  <c r="G175" i="3"/>
  <c r="H175" i="3"/>
  <c r="I175" i="3"/>
  <c r="G176" i="3"/>
  <c r="H176" i="3"/>
  <c r="I176" i="3"/>
  <c r="G177" i="3"/>
  <c r="R177" i="3" s="1"/>
  <c r="H177" i="3"/>
  <c r="I177" i="3"/>
  <c r="G178" i="3"/>
  <c r="R178" i="3" s="1"/>
  <c r="H178" i="3"/>
  <c r="I178" i="3"/>
  <c r="G179" i="3"/>
  <c r="H179" i="3"/>
  <c r="I179" i="3"/>
  <c r="G180" i="3"/>
  <c r="H180" i="3"/>
  <c r="I180" i="3"/>
  <c r="G181" i="3"/>
  <c r="H181" i="3"/>
  <c r="I181" i="3"/>
  <c r="G182" i="3"/>
  <c r="H182" i="3"/>
  <c r="I182" i="3"/>
  <c r="G183" i="3"/>
  <c r="H183" i="3"/>
  <c r="I183" i="3"/>
  <c r="G184" i="3"/>
  <c r="H184" i="3"/>
  <c r="I184" i="3"/>
  <c r="G185" i="3"/>
  <c r="H185" i="3"/>
  <c r="I185" i="3"/>
  <c r="G186" i="3"/>
  <c r="H186" i="3"/>
  <c r="I186" i="3"/>
  <c r="G187" i="3"/>
  <c r="H187" i="3"/>
  <c r="I187" i="3"/>
  <c r="G188" i="3"/>
  <c r="H188" i="3"/>
  <c r="I188" i="3"/>
  <c r="G189" i="3"/>
  <c r="R189" i="3" s="1"/>
  <c r="H189" i="3"/>
  <c r="I189" i="3"/>
  <c r="G190" i="3"/>
  <c r="R190" i="3" s="1"/>
  <c r="H190" i="3"/>
  <c r="I190" i="3"/>
  <c r="G191" i="3"/>
  <c r="H191" i="3"/>
  <c r="I191" i="3"/>
  <c r="G192" i="3"/>
  <c r="H192" i="3"/>
  <c r="I192" i="3"/>
  <c r="G193" i="3"/>
  <c r="H193" i="3"/>
  <c r="I193" i="3"/>
  <c r="G194" i="3"/>
  <c r="H194" i="3"/>
  <c r="I194" i="3"/>
  <c r="G195" i="3"/>
  <c r="H195" i="3"/>
  <c r="I195" i="3"/>
  <c r="G196" i="3"/>
  <c r="H196" i="3"/>
  <c r="I196" i="3"/>
  <c r="G197" i="3"/>
  <c r="H197" i="3"/>
  <c r="I197" i="3"/>
  <c r="G198" i="3"/>
  <c r="H198" i="3"/>
  <c r="I198" i="3"/>
  <c r="G199" i="3"/>
  <c r="H199" i="3"/>
  <c r="I199" i="3"/>
  <c r="G200" i="3"/>
  <c r="H200" i="3"/>
  <c r="I200" i="3"/>
  <c r="G201" i="3"/>
  <c r="H201" i="3"/>
  <c r="I201" i="3"/>
  <c r="G202" i="3"/>
  <c r="H202" i="3"/>
  <c r="I202" i="3"/>
  <c r="G203" i="3"/>
  <c r="H203" i="3"/>
  <c r="I203" i="3"/>
  <c r="G204" i="3"/>
  <c r="H204" i="3"/>
  <c r="I204" i="3"/>
  <c r="G205" i="3"/>
  <c r="H205" i="3"/>
  <c r="I205" i="3"/>
  <c r="G206" i="3"/>
  <c r="H206" i="3"/>
  <c r="I206" i="3"/>
  <c r="G207" i="3"/>
  <c r="H207" i="3"/>
  <c r="I207" i="3"/>
  <c r="G208" i="3"/>
  <c r="H208" i="3"/>
  <c r="I208" i="3"/>
  <c r="G209" i="3"/>
  <c r="H209" i="3"/>
  <c r="I209" i="3"/>
  <c r="G210" i="3"/>
  <c r="H210" i="3"/>
  <c r="I210" i="3"/>
  <c r="G211" i="3"/>
  <c r="H211" i="3"/>
  <c r="I211" i="3"/>
  <c r="G212" i="3"/>
  <c r="H212" i="3"/>
  <c r="I212" i="3"/>
  <c r="G213" i="3"/>
  <c r="R213" i="3" s="1"/>
  <c r="H213" i="3"/>
  <c r="I213" i="3"/>
  <c r="G214" i="3"/>
  <c r="H214" i="3"/>
  <c r="I214" i="3"/>
  <c r="G215" i="3"/>
  <c r="H215" i="3"/>
  <c r="I215" i="3"/>
  <c r="G216" i="3"/>
  <c r="H216" i="3"/>
  <c r="I216" i="3"/>
  <c r="G217" i="3"/>
  <c r="H217" i="3"/>
  <c r="I217" i="3"/>
  <c r="G218" i="3"/>
  <c r="H218" i="3"/>
  <c r="I218" i="3"/>
  <c r="G219" i="3"/>
  <c r="H219" i="3"/>
  <c r="I219" i="3"/>
  <c r="G220" i="3"/>
  <c r="H220" i="3"/>
  <c r="I220" i="3"/>
  <c r="G221" i="3"/>
  <c r="H221" i="3"/>
  <c r="I221" i="3"/>
  <c r="G222" i="3"/>
  <c r="H222" i="3"/>
  <c r="I222" i="3"/>
  <c r="G223" i="3"/>
  <c r="H223" i="3"/>
  <c r="I223" i="3"/>
  <c r="G224" i="3"/>
  <c r="H224" i="3"/>
  <c r="I224" i="3"/>
  <c r="G225" i="3"/>
  <c r="R225" i="3" s="1"/>
  <c r="H225" i="3"/>
  <c r="I225" i="3"/>
  <c r="G226" i="3"/>
  <c r="R226" i="3" s="1"/>
  <c r="H226" i="3"/>
  <c r="I226" i="3"/>
  <c r="G286" i="3"/>
  <c r="H286" i="3"/>
  <c r="I286" i="3"/>
  <c r="G287" i="3"/>
  <c r="H287" i="3"/>
  <c r="I287" i="3"/>
  <c r="G288" i="3"/>
  <c r="H288" i="3"/>
  <c r="I288" i="3"/>
  <c r="G289" i="3"/>
  <c r="H289" i="3"/>
  <c r="I289" i="3"/>
  <c r="G290" i="3"/>
  <c r="H290" i="3"/>
  <c r="I290" i="3"/>
  <c r="G291" i="3"/>
  <c r="H291" i="3"/>
  <c r="I291" i="3"/>
  <c r="G292" i="3"/>
  <c r="H292" i="3"/>
  <c r="I292" i="3"/>
  <c r="G293" i="3"/>
  <c r="H293" i="3"/>
  <c r="I293" i="3"/>
  <c r="G294" i="3"/>
  <c r="H294" i="3"/>
  <c r="I294" i="3"/>
  <c r="G295" i="3"/>
  <c r="H295" i="3"/>
  <c r="I295" i="3"/>
  <c r="G296" i="3"/>
  <c r="H296" i="3"/>
  <c r="I296" i="3"/>
  <c r="G297" i="3"/>
  <c r="R297" i="3" s="1"/>
  <c r="H297" i="3"/>
  <c r="I297" i="3"/>
  <c r="G298" i="3"/>
  <c r="H298" i="3"/>
  <c r="I298" i="3"/>
  <c r="G299" i="3"/>
  <c r="H299" i="3"/>
  <c r="I299" i="3"/>
  <c r="G300" i="3"/>
  <c r="H300" i="3"/>
  <c r="I300" i="3"/>
  <c r="G301" i="3"/>
  <c r="H301" i="3"/>
  <c r="I301" i="3"/>
  <c r="G302" i="3"/>
  <c r="H302" i="3"/>
  <c r="I302" i="3"/>
  <c r="G303" i="3"/>
  <c r="H303" i="3"/>
  <c r="I303" i="3"/>
  <c r="G304" i="3"/>
  <c r="H304" i="3"/>
  <c r="I304" i="3"/>
  <c r="G305" i="3"/>
  <c r="H305" i="3"/>
  <c r="I305" i="3"/>
  <c r="G306" i="3"/>
  <c r="H306" i="3"/>
  <c r="I306" i="3"/>
  <c r="G307" i="3"/>
  <c r="H307" i="3"/>
  <c r="I307" i="3"/>
  <c r="G308" i="3"/>
  <c r="H308" i="3"/>
  <c r="I308" i="3"/>
  <c r="G309" i="3"/>
  <c r="R309" i="3" s="1"/>
  <c r="H309" i="3"/>
  <c r="I309" i="3"/>
  <c r="G310" i="3"/>
  <c r="R310" i="3" s="1"/>
  <c r="H310" i="3"/>
  <c r="I310" i="3"/>
  <c r="G311" i="3"/>
  <c r="H311" i="3"/>
  <c r="I311" i="3"/>
  <c r="G312" i="3"/>
  <c r="H312" i="3"/>
  <c r="I312" i="3"/>
  <c r="G313" i="3"/>
  <c r="H313" i="3"/>
  <c r="I313" i="3"/>
  <c r="G314" i="3"/>
  <c r="H314" i="3"/>
  <c r="I314" i="3"/>
  <c r="G315" i="3"/>
  <c r="H315" i="3"/>
  <c r="I315" i="3"/>
  <c r="G316" i="3"/>
  <c r="H316" i="3"/>
  <c r="I316" i="3"/>
  <c r="G317" i="3"/>
  <c r="H317" i="3"/>
  <c r="I317" i="3"/>
  <c r="G318" i="3"/>
  <c r="H318" i="3"/>
  <c r="I318" i="3"/>
  <c r="G319" i="3"/>
  <c r="H319" i="3"/>
  <c r="I319" i="3"/>
  <c r="G320" i="3"/>
  <c r="H320" i="3"/>
  <c r="I320" i="3"/>
  <c r="G321" i="3"/>
  <c r="R321" i="3" s="1"/>
  <c r="H321" i="3"/>
  <c r="I321" i="3"/>
  <c r="G322" i="3"/>
  <c r="R322" i="3" s="1"/>
  <c r="H322" i="3"/>
  <c r="I322" i="3"/>
  <c r="G323" i="3"/>
  <c r="H323" i="3"/>
  <c r="I323" i="3"/>
  <c r="G324" i="3"/>
  <c r="H324" i="3"/>
  <c r="I324" i="3"/>
  <c r="G325" i="3"/>
  <c r="H325" i="3"/>
  <c r="I325" i="3"/>
  <c r="G326" i="3"/>
  <c r="H326" i="3"/>
  <c r="I326" i="3"/>
  <c r="G327" i="3"/>
  <c r="H327" i="3"/>
  <c r="I327" i="3"/>
  <c r="G328" i="3"/>
  <c r="H328" i="3"/>
  <c r="I328" i="3"/>
  <c r="G329" i="3"/>
  <c r="H329" i="3"/>
  <c r="I329" i="3"/>
  <c r="G330" i="3"/>
  <c r="H330" i="3"/>
  <c r="I330" i="3"/>
  <c r="G331" i="3"/>
  <c r="H331" i="3"/>
  <c r="I331" i="3"/>
  <c r="G332" i="3"/>
  <c r="H332" i="3"/>
  <c r="I332" i="3"/>
  <c r="G333" i="3"/>
  <c r="R333" i="3" s="1"/>
  <c r="H333" i="3"/>
  <c r="I333" i="3"/>
  <c r="G334" i="3"/>
  <c r="R334" i="3" s="1"/>
  <c r="H334" i="3"/>
  <c r="I334" i="3"/>
  <c r="G335" i="3"/>
  <c r="H335" i="3"/>
  <c r="I335" i="3"/>
  <c r="G336" i="3"/>
  <c r="H336" i="3"/>
  <c r="I336" i="3"/>
  <c r="G337" i="3"/>
  <c r="H337" i="3"/>
  <c r="I337" i="3"/>
  <c r="G338" i="3"/>
  <c r="H338" i="3"/>
  <c r="I338" i="3"/>
  <c r="G339" i="3"/>
  <c r="H339" i="3"/>
  <c r="I339" i="3"/>
  <c r="G340" i="3"/>
  <c r="H340" i="3"/>
  <c r="I340" i="3"/>
  <c r="G341" i="3"/>
  <c r="H341" i="3"/>
  <c r="I341" i="3"/>
  <c r="G342" i="3"/>
  <c r="H342" i="3"/>
  <c r="I342" i="3"/>
  <c r="G343" i="3"/>
  <c r="H343" i="3"/>
  <c r="I343" i="3"/>
  <c r="G344" i="3"/>
  <c r="H344" i="3"/>
  <c r="I344" i="3"/>
  <c r="G345" i="3"/>
  <c r="H345" i="3"/>
  <c r="I345" i="3"/>
  <c r="G346" i="3"/>
  <c r="H346" i="3"/>
  <c r="I346" i="3"/>
  <c r="G347" i="3"/>
  <c r="H347" i="3"/>
  <c r="I347" i="3"/>
  <c r="G348" i="3"/>
  <c r="H348" i="3"/>
  <c r="I348" i="3"/>
  <c r="G349" i="3"/>
  <c r="H349" i="3"/>
  <c r="I349" i="3"/>
  <c r="G350" i="3"/>
  <c r="H350" i="3"/>
  <c r="I350" i="3"/>
  <c r="G351" i="3"/>
  <c r="H351" i="3"/>
  <c r="I351" i="3"/>
  <c r="G352" i="3"/>
  <c r="H352" i="3"/>
  <c r="I352" i="3"/>
  <c r="G353" i="3"/>
  <c r="H353" i="3"/>
  <c r="I353" i="3"/>
  <c r="G354" i="3"/>
  <c r="H354" i="3"/>
  <c r="I354" i="3"/>
  <c r="G355" i="3"/>
  <c r="H355" i="3"/>
  <c r="I355" i="3"/>
  <c r="G356" i="3"/>
  <c r="H356" i="3"/>
  <c r="I356" i="3"/>
  <c r="G357" i="3"/>
  <c r="H357" i="3"/>
  <c r="I357" i="3"/>
  <c r="G358" i="3"/>
  <c r="H358" i="3"/>
  <c r="I358" i="3"/>
  <c r="G359" i="3"/>
  <c r="H359" i="3"/>
  <c r="I359" i="3"/>
  <c r="G360" i="3"/>
  <c r="H360" i="3"/>
  <c r="I360" i="3"/>
  <c r="G361" i="3"/>
  <c r="H361" i="3"/>
  <c r="I361" i="3"/>
  <c r="G362" i="3"/>
  <c r="H362" i="3"/>
  <c r="I362" i="3"/>
  <c r="G363" i="3"/>
  <c r="H363" i="3"/>
  <c r="I363" i="3"/>
  <c r="G364" i="3"/>
  <c r="H364" i="3"/>
  <c r="I364" i="3"/>
  <c r="G365" i="3"/>
  <c r="H365" i="3"/>
  <c r="I365" i="3"/>
  <c r="G366" i="3"/>
  <c r="H366" i="3"/>
  <c r="I366" i="3"/>
  <c r="G367" i="3"/>
  <c r="H367" i="3"/>
  <c r="I367" i="3"/>
  <c r="G368" i="3"/>
  <c r="H368" i="3"/>
  <c r="I368" i="3"/>
  <c r="G369" i="3"/>
  <c r="R369" i="3" s="1"/>
  <c r="H369" i="3"/>
  <c r="I369" i="3"/>
  <c r="G370" i="3"/>
  <c r="H370" i="3"/>
  <c r="I370" i="3"/>
  <c r="G371" i="3"/>
  <c r="H371" i="3"/>
  <c r="I371" i="3"/>
  <c r="G372" i="3"/>
  <c r="H372" i="3"/>
  <c r="I372" i="3"/>
  <c r="G373" i="3"/>
  <c r="H373" i="3"/>
  <c r="I373" i="3"/>
  <c r="G374" i="3"/>
  <c r="H374" i="3"/>
  <c r="I374" i="3"/>
  <c r="G375" i="3"/>
  <c r="H375" i="3"/>
  <c r="I375" i="3"/>
  <c r="G376" i="3"/>
  <c r="H376" i="3"/>
  <c r="I376" i="3"/>
  <c r="G377" i="3"/>
  <c r="H377" i="3"/>
  <c r="I377" i="3"/>
  <c r="G378" i="3"/>
  <c r="H378" i="3"/>
  <c r="I378" i="3"/>
  <c r="G382" i="3"/>
  <c r="H382" i="3"/>
  <c r="I382" i="3"/>
  <c r="G383" i="3"/>
  <c r="H383" i="3"/>
  <c r="I383" i="3"/>
  <c r="G384" i="3"/>
  <c r="H384" i="3"/>
  <c r="I384" i="3"/>
  <c r="G385" i="3"/>
  <c r="H385" i="3"/>
  <c r="I385" i="3"/>
  <c r="G386" i="3"/>
  <c r="H386" i="3"/>
  <c r="I386" i="3"/>
  <c r="G387" i="3"/>
  <c r="H387" i="3"/>
  <c r="I387" i="3"/>
  <c r="G388" i="3"/>
  <c r="H388" i="3"/>
  <c r="I388" i="3"/>
  <c r="G389" i="3"/>
  <c r="H389" i="3"/>
  <c r="I389" i="3"/>
  <c r="G390" i="3"/>
  <c r="H390" i="3"/>
  <c r="I390" i="3"/>
  <c r="G391" i="3"/>
  <c r="H391" i="3"/>
  <c r="I391" i="3"/>
  <c r="G392" i="3"/>
  <c r="H392" i="3"/>
  <c r="I392" i="3"/>
  <c r="G393" i="3"/>
  <c r="R393" i="3" s="1"/>
  <c r="H393" i="3"/>
  <c r="I393" i="3"/>
  <c r="G394" i="3"/>
  <c r="H394" i="3"/>
  <c r="I394" i="3"/>
  <c r="G395" i="3"/>
  <c r="H395" i="3"/>
  <c r="I395" i="3"/>
  <c r="G396" i="3"/>
  <c r="H396" i="3"/>
  <c r="I396" i="3"/>
  <c r="G397" i="3"/>
  <c r="H397" i="3"/>
  <c r="I397" i="3"/>
  <c r="G398" i="3"/>
  <c r="H398" i="3"/>
  <c r="I398" i="3"/>
  <c r="G399" i="3"/>
  <c r="H399" i="3"/>
  <c r="I399" i="3"/>
  <c r="G400" i="3"/>
  <c r="H400" i="3"/>
  <c r="I400" i="3"/>
  <c r="G401" i="3"/>
  <c r="H401" i="3"/>
  <c r="I401" i="3"/>
  <c r="G402" i="3"/>
  <c r="H402" i="3"/>
  <c r="I402" i="3"/>
  <c r="G403" i="3"/>
  <c r="H403" i="3"/>
  <c r="I403" i="3"/>
  <c r="G404" i="3"/>
  <c r="H404" i="3"/>
  <c r="I404" i="3"/>
  <c r="G405" i="3"/>
  <c r="R405" i="3" s="1"/>
  <c r="H405" i="3"/>
  <c r="I405" i="3"/>
  <c r="G406" i="3"/>
  <c r="R406" i="3" s="1"/>
  <c r="H406" i="3"/>
  <c r="I406" i="3"/>
  <c r="G407" i="3"/>
  <c r="H407" i="3"/>
  <c r="I407" i="3"/>
  <c r="G408" i="3"/>
  <c r="H408" i="3"/>
  <c r="I408" i="3"/>
  <c r="G409" i="3"/>
  <c r="H409" i="3"/>
  <c r="I409" i="3"/>
  <c r="G410" i="3"/>
  <c r="R410" i="3" s="1"/>
  <c r="H410" i="3"/>
  <c r="I410" i="3"/>
  <c r="G411" i="3"/>
  <c r="H411" i="3"/>
  <c r="I411" i="3"/>
  <c r="G412" i="3"/>
  <c r="H412" i="3"/>
  <c r="I412" i="3"/>
  <c r="G413" i="3"/>
  <c r="H413" i="3"/>
  <c r="I413" i="3"/>
  <c r="G414" i="3"/>
  <c r="H414" i="3"/>
  <c r="I414" i="3"/>
  <c r="G415" i="3"/>
  <c r="H415" i="3"/>
  <c r="I415" i="3"/>
  <c r="G416" i="3"/>
  <c r="H416" i="3"/>
  <c r="I416" i="3"/>
  <c r="G417" i="3"/>
  <c r="H417" i="3"/>
  <c r="I417" i="3"/>
  <c r="G418" i="3"/>
  <c r="H418" i="3"/>
  <c r="I418" i="3"/>
  <c r="G419" i="3"/>
  <c r="H419" i="3"/>
  <c r="I419" i="3"/>
  <c r="G420" i="3"/>
  <c r="H420" i="3"/>
  <c r="I420" i="3"/>
  <c r="G421" i="3"/>
  <c r="H421" i="3"/>
  <c r="I421" i="3"/>
  <c r="G422" i="3"/>
  <c r="R422" i="3" s="1"/>
  <c r="H422" i="3"/>
  <c r="I422" i="3"/>
  <c r="G423" i="3"/>
  <c r="H423" i="3"/>
  <c r="I423" i="3"/>
  <c r="G424" i="3"/>
  <c r="H424" i="3"/>
  <c r="I424" i="3"/>
  <c r="G425" i="3"/>
  <c r="H425" i="3"/>
  <c r="I425" i="3"/>
  <c r="G426" i="3"/>
  <c r="H426" i="3"/>
  <c r="I426" i="3"/>
  <c r="G427" i="3"/>
  <c r="H427" i="3"/>
  <c r="I427" i="3"/>
  <c r="G428" i="3"/>
  <c r="H428" i="3"/>
  <c r="I428" i="3"/>
  <c r="G429" i="3"/>
  <c r="H429" i="3"/>
  <c r="I429" i="3"/>
  <c r="G430" i="3"/>
  <c r="H430" i="3"/>
  <c r="I430" i="3"/>
  <c r="G431" i="3"/>
  <c r="H431" i="3"/>
  <c r="I431" i="3"/>
  <c r="G432" i="3"/>
  <c r="H432" i="3"/>
  <c r="I432" i="3"/>
  <c r="G433" i="3"/>
  <c r="H433" i="3"/>
  <c r="I433" i="3"/>
  <c r="G434" i="3"/>
  <c r="H434" i="3"/>
  <c r="I434" i="3"/>
  <c r="G435" i="3"/>
  <c r="H435" i="3"/>
  <c r="I435" i="3"/>
  <c r="G436" i="3"/>
  <c r="H436" i="3"/>
  <c r="I436" i="3"/>
  <c r="G437" i="3"/>
  <c r="H437" i="3"/>
  <c r="I437" i="3"/>
  <c r="G438" i="3"/>
  <c r="H438" i="3"/>
  <c r="I438" i="3"/>
  <c r="G439" i="3"/>
  <c r="H439" i="3"/>
  <c r="I439" i="3"/>
  <c r="G440" i="3"/>
  <c r="H440" i="3"/>
  <c r="I440" i="3"/>
  <c r="G441" i="3"/>
  <c r="H441" i="3"/>
  <c r="I441" i="3"/>
  <c r="G442" i="3"/>
  <c r="H442" i="3"/>
  <c r="I442" i="3"/>
  <c r="G443" i="3"/>
  <c r="H443" i="3"/>
  <c r="I443" i="3"/>
  <c r="G444" i="3"/>
  <c r="H444" i="3"/>
  <c r="I444" i="3"/>
  <c r="G445" i="3"/>
  <c r="H445" i="3"/>
  <c r="I445" i="3"/>
  <c r="G446" i="3"/>
  <c r="H446" i="3"/>
  <c r="I446" i="3"/>
  <c r="G447" i="3"/>
  <c r="H447" i="3"/>
  <c r="I447" i="3"/>
  <c r="G448" i="3"/>
  <c r="H448" i="3"/>
  <c r="I448" i="3"/>
  <c r="G449" i="3"/>
  <c r="H449" i="3"/>
  <c r="I449" i="3"/>
  <c r="G450" i="3"/>
  <c r="H450" i="3"/>
  <c r="I450" i="3"/>
  <c r="G451" i="3"/>
  <c r="H451" i="3"/>
  <c r="I451" i="3"/>
  <c r="G452" i="3"/>
  <c r="H452" i="3"/>
  <c r="I452" i="3"/>
  <c r="G453" i="3"/>
  <c r="H453" i="3"/>
  <c r="I453" i="3"/>
  <c r="G454" i="3"/>
  <c r="H454" i="3"/>
  <c r="I454" i="3"/>
  <c r="G455" i="3"/>
  <c r="H455" i="3"/>
  <c r="I455" i="3"/>
  <c r="G456" i="3"/>
  <c r="H456" i="3"/>
  <c r="I456" i="3"/>
  <c r="G457" i="3"/>
  <c r="H457" i="3"/>
  <c r="I457" i="3"/>
  <c r="G458" i="3"/>
  <c r="H458" i="3"/>
  <c r="I458" i="3"/>
  <c r="G459" i="3"/>
  <c r="H459" i="3"/>
  <c r="I459" i="3"/>
  <c r="G460" i="3"/>
  <c r="H460" i="3"/>
  <c r="I460" i="3"/>
  <c r="G461" i="3"/>
  <c r="H461" i="3"/>
  <c r="I461" i="3"/>
  <c r="G462" i="3"/>
  <c r="H462" i="3"/>
  <c r="I462" i="3"/>
  <c r="G463" i="3"/>
  <c r="H463" i="3"/>
  <c r="I463" i="3"/>
  <c r="G464" i="3"/>
  <c r="H464" i="3"/>
  <c r="I464" i="3"/>
  <c r="G465" i="3"/>
  <c r="R465" i="3" s="1"/>
  <c r="H465" i="3"/>
  <c r="I465" i="3"/>
  <c r="G466" i="3"/>
  <c r="H466" i="3"/>
  <c r="I466" i="3"/>
  <c r="G467" i="3"/>
  <c r="H467" i="3"/>
  <c r="I467" i="3"/>
  <c r="G468" i="3"/>
  <c r="H468" i="3"/>
  <c r="I468" i="3"/>
  <c r="G469" i="3"/>
  <c r="H469" i="3"/>
  <c r="I469" i="3"/>
  <c r="G470" i="3"/>
  <c r="H470" i="3"/>
  <c r="I470" i="3"/>
  <c r="G471" i="3"/>
  <c r="H471" i="3"/>
  <c r="I471" i="3"/>
  <c r="G472" i="3"/>
  <c r="H472" i="3"/>
  <c r="I472" i="3"/>
  <c r="G473" i="3"/>
  <c r="H473" i="3"/>
  <c r="I473" i="3"/>
  <c r="G474" i="3"/>
  <c r="H474" i="3"/>
  <c r="I474" i="3"/>
  <c r="G475" i="3"/>
  <c r="H475" i="3"/>
  <c r="I475" i="3"/>
  <c r="G476" i="3"/>
  <c r="H476" i="3"/>
  <c r="I476" i="3"/>
  <c r="G477" i="3"/>
  <c r="R477" i="3" s="1"/>
  <c r="H477" i="3"/>
  <c r="I477" i="3"/>
  <c r="G478" i="3"/>
  <c r="R478" i="3" s="1"/>
  <c r="H478" i="3"/>
  <c r="I478" i="3"/>
  <c r="G479" i="3"/>
  <c r="H479" i="3"/>
  <c r="I479" i="3"/>
  <c r="G480" i="3"/>
  <c r="H480" i="3"/>
  <c r="I480" i="3"/>
  <c r="G481" i="3"/>
  <c r="H481" i="3"/>
  <c r="I481" i="3"/>
  <c r="G482" i="3"/>
  <c r="H482" i="3"/>
  <c r="I482" i="3"/>
  <c r="G483" i="3"/>
  <c r="H483" i="3"/>
  <c r="I483" i="3"/>
  <c r="G484" i="3"/>
  <c r="H484" i="3"/>
  <c r="I484" i="3"/>
  <c r="G485" i="3"/>
  <c r="H485" i="3"/>
  <c r="I485" i="3"/>
  <c r="G486" i="3"/>
  <c r="H486" i="3"/>
  <c r="I486" i="3"/>
  <c r="G487" i="3"/>
  <c r="H487" i="3"/>
  <c r="I487" i="3"/>
  <c r="G488" i="3"/>
  <c r="H488" i="3"/>
  <c r="I488" i="3"/>
  <c r="G489" i="3"/>
  <c r="H489" i="3"/>
  <c r="I489" i="3"/>
  <c r="G490" i="3"/>
  <c r="H490" i="3"/>
  <c r="I490" i="3"/>
  <c r="G491" i="3"/>
  <c r="H491" i="3"/>
  <c r="I491" i="3"/>
  <c r="G492" i="3"/>
  <c r="H492" i="3"/>
  <c r="I492" i="3"/>
  <c r="G493" i="3"/>
  <c r="H493" i="3"/>
  <c r="I493" i="3"/>
  <c r="G494" i="3"/>
  <c r="H494" i="3"/>
  <c r="I494" i="3"/>
  <c r="G495" i="3"/>
  <c r="H495" i="3"/>
  <c r="I495" i="3"/>
  <c r="G496" i="3"/>
  <c r="H496" i="3"/>
  <c r="I496" i="3"/>
  <c r="G497" i="3"/>
  <c r="H497" i="3"/>
  <c r="I497" i="3"/>
  <c r="G498" i="3"/>
  <c r="H498" i="3"/>
  <c r="I498" i="3"/>
  <c r="G499" i="3"/>
  <c r="H499" i="3"/>
  <c r="I499" i="3"/>
  <c r="G500" i="3"/>
  <c r="H500" i="3"/>
  <c r="I500" i="3"/>
  <c r="G501" i="3"/>
  <c r="H501" i="3"/>
  <c r="I501" i="3"/>
  <c r="G502" i="3"/>
  <c r="H502" i="3"/>
  <c r="I502" i="3"/>
  <c r="G503" i="3"/>
  <c r="H503" i="3"/>
  <c r="I503" i="3"/>
  <c r="G504" i="3"/>
  <c r="H504" i="3"/>
  <c r="I504" i="3"/>
  <c r="G505" i="3"/>
  <c r="H505" i="3"/>
  <c r="I505" i="3"/>
  <c r="G506" i="3"/>
  <c r="H506" i="3"/>
  <c r="I506" i="3"/>
  <c r="G507" i="3"/>
  <c r="H507" i="3"/>
  <c r="I507" i="3"/>
  <c r="G508" i="3"/>
  <c r="H508" i="3"/>
  <c r="I508" i="3"/>
  <c r="G509" i="3"/>
  <c r="H509" i="3"/>
  <c r="I509" i="3"/>
  <c r="G510" i="3"/>
  <c r="H510" i="3"/>
  <c r="I510" i="3"/>
  <c r="G511" i="3"/>
  <c r="H511" i="3"/>
  <c r="I511" i="3"/>
  <c r="G512" i="3"/>
  <c r="H512" i="3"/>
  <c r="I512" i="3"/>
  <c r="G513" i="3"/>
  <c r="H513" i="3"/>
  <c r="I513" i="3"/>
  <c r="G514" i="3"/>
  <c r="H514" i="3"/>
  <c r="I514" i="3"/>
  <c r="G515" i="3"/>
  <c r="H515" i="3"/>
  <c r="I515" i="3"/>
  <c r="G516" i="3"/>
  <c r="H516" i="3"/>
  <c r="I516" i="3"/>
  <c r="G517" i="3"/>
  <c r="H517" i="3"/>
  <c r="I517" i="3"/>
  <c r="G518" i="3"/>
  <c r="H518" i="3"/>
  <c r="I518" i="3"/>
  <c r="G519" i="3"/>
  <c r="H519" i="3"/>
  <c r="I519" i="3"/>
  <c r="G520" i="3"/>
  <c r="H520" i="3"/>
  <c r="I520" i="3"/>
  <c r="G521" i="3"/>
  <c r="H521" i="3"/>
  <c r="I521" i="3"/>
  <c r="G522" i="3"/>
  <c r="H522" i="3"/>
  <c r="I522" i="3"/>
  <c r="G523" i="3"/>
  <c r="H523" i="3"/>
  <c r="I523" i="3"/>
  <c r="G524" i="3"/>
  <c r="H524" i="3"/>
  <c r="I524" i="3"/>
  <c r="G525" i="3"/>
  <c r="H525" i="3"/>
  <c r="I525" i="3"/>
  <c r="G526" i="3"/>
  <c r="H526" i="3"/>
  <c r="I526" i="3"/>
  <c r="G527" i="3"/>
  <c r="H527" i="3"/>
  <c r="I527" i="3"/>
  <c r="G528" i="3"/>
  <c r="H528" i="3"/>
  <c r="I528" i="3"/>
  <c r="G529" i="3"/>
  <c r="H529" i="3"/>
  <c r="I529" i="3"/>
  <c r="G530" i="3"/>
  <c r="H530" i="3"/>
  <c r="I530" i="3"/>
  <c r="G531" i="3"/>
  <c r="H531" i="3"/>
  <c r="I531" i="3"/>
  <c r="G532" i="3"/>
  <c r="H532" i="3"/>
  <c r="I532" i="3"/>
  <c r="G533" i="3"/>
  <c r="H533" i="3"/>
  <c r="I533" i="3"/>
  <c r="G534" i="3"/>
  <c r="H534" i="3"/>
  <c r="I534" i="3"/>
  <c r="G535" i="3"/>
  <c r="H535" i="3"/>
  <c r="I535" i="3"/>
  <c r="G536" i="3"/>
  <c r="H536" i="3"/>
  <c r="I536" i="3"/>
  <c r="G537" i="3"/>
  <c r="R537" i="3" s="1"/>
  <c r="H537" i="3"/>
  <c r="I537" i="3"/>
  <c r="G538" i="3"/>
  <c r="H538" i="3"/>
  <c r="I538" i="3"/>
  <c r="G539" i="3"/>
  <c r="H539" i="3"/>
  <c r="I539" i="3"/>
  <c r="G540" i="3"/>
  <c r="H540" i="3"/>
  <c r="I540" i="3"/>
  <c r="G541" i="3"/>
  <c r="H541" i="3"/>
  <c r="I541" i="3"/>
  <c r="G542" i="3"/>
  <c r="H542" i="3"/>
  <c r="I542" i="3"/>
  <c r="G543" i="3"/>
  <c r="H543" i="3"/>
  <c r="I543" i="3"/>
  <c r="G544" i="3"/>
  <c r="H544" i="3"/>
  <c r="I544" i="3"/>
  <c r="G545" i="3"/>
  <c r="H545" i="3"/>
  <c r="I545" i="3"/>
  <c r="G546" i="3"/>
  <c r="H546" i="3"/>
  <c r="I546" i="3"/>
  <c r="G547" i="3"/>
  <c r="H547" i="3"/>
  <c r="I547" i="3"/>
  <c r="G548" i="3"/>
  <c r="H548" i="3"/>
  <c r="I548" i="3"/>
  <c r="G549" i="3"/>
  <c r="H549" i="3"/>
  <c r="I549" i="3"/>
  <c r="G550" i="3"/>
  <c r="H550" i="3"/>
  <c r="I550" i="3"/>
  <c r="G551" i="3"/>
  <c r="H551" i="3"/>
  <c r="I551" i="3"/>
  <c r="G552" i="3"/>
  <c r="H552" i="3"/>
  <c r="I552" i="3"/>
  <c r="G553" i="3"/>
  <c r="H553" i="3"/>
  <c r="I553" i="3"/>
  <c r="G554" i="3"/>
  <c r="H554" i="3"/>
  <c r="I554" i="3"/>
  <c r="G555" i="3"/>
  <c r="H555" i="3"/>
  <c r="I555" i="3"/>
  <c r="G556" i="3"/>
  <c r="H556" i="3"/>
  <c r="I556" i="3"/>
  <c r="G557" i="3"/>
  <c r="H557" i="3"/>
  <c r="I557" i="3"/>
  <c r="G558" i="3"/>
  <c r="H558" i="3"/>
  <c r="I558" i="3"/>
  <c r="G559" i="3"/>
  <c r="H559" i="3"/>
  <c r="I559" i="3"/>
  <c r="G560" i="3"/>
  <c r="H560" i="3"/>
  <c r="I560" i="3"/>
  <c r="G561" i="3"/>
  <c r="H561" i="3"/>
  <c r="I561" i="3"/>
  <c r="G562" i="3"/>
  <c r="H562" i="3"/>
  <c r="I562" i="3"/>
  <c r="G563" i="3"/>
  <c r="H563" i="3"/>
  <c r="I563" i="3"/>
  <c r="G564" i="3"/>
  <c r="H564" i="3"/>
  <c r="I564" i="3"/>
  <c r="G565" i="3"/>
  <c r="H565" i="3"/>
  <c r="I565" i="3"/>
  <c r="G566" i="3"/>
  <c r="H566" i="3"/>
  <c r="I566" i="3"/>
  <c r="G567" i="3"/>
  <c r="H567" i="3"/>
  <c r="I567" i="3"/>
  <c r="G568" i="3"/>
  <c r="H568" i="3"/>
  <c r="I568" i="3"/>
  <c r="G569" i="3"/>
  <c r="H569" i="3"/>
  <c r="I569" i="3"/>
  <c r="G570" i="3"/>
  <c r="H570" i="3"/>
  <c r="I570" i="3"/>
  <c r="G571" i="3"/>
  <c r="H571" i="3"/>
  <c r="I571" i="3"/>
  <c r="G572" i="3"/>
  <c r="H572" i="3"/>
  <c r="I572" i="3"/>
  <c r="G573" i="3"/>
  <c r="H573" i="3"/>
  <c r="I573" i="3"/>
  <c r="G574" i="3"/>
  <c r="H574" i="3"/>
  <c r="I574" i="3"/>
  <c r="G575" i="3"/>
  <c r="H575" i="3"/>
  <c r="I575" i="3"/>
  <c r="G576" i="3"/>
  <c r="H576" i="3"/>
  <c r="I576" i="3"/>
  <c r="G577" i="3"/>
  <c r="H577" i="3"/>
  <c r="I577" i="3"/>
  <c r="G578" i="3"/>
  <c r="H578" i="3"/>
  <c r="I578" i="3"/>
  <c r="G579" i="3"/>
  <c r="H579" i="3"/>
  <c r="I579" i="3"/>
  <c r="G580" i="3"/>
  <c r="H580" i="3"/>
  <c r="I580" i="3"/>
  <c r="G581" i="3"/>
  <c r="H581" i="3"/>
  <c r="I581" i="3"/>
  <c r="G582" i="3"/>
  <c r="H582" i="3"/>
  <c r="I582" i="3"/>
  <c r="G583" i="3"/>
  <c r="H583" i="3"/>
  <c r="I583" i="3"/>
  <c r="G584" i="3"/>
  <c r="H584" i="3"/>
  <c r="I584" i="3"/>
  <c r="G585" i="3"/>
  <c r="H585" i="3"/>
  <c r="I585" i="3"/>
  <c r="G586" i="3"/>
  <c r="H586" i="3"/>
  <c r="I586" i="3"/>
  <c r="G587" i="3"/>
  <c r="H587" i="3"/>
  <c r="I587" i="3"/>
  <c r="G588" i="3"/>
  <c r="H588" i="3"/>
  <c r="I588" i="3"/>
  <c r="G589" i="3"/>
  <c r="H589" i="3"/>
  <c r="I589" i="3"/>
  <c r="G590" i="3"/>
  <c r="H590" i="3"/>
  <c r="I590" i="3"/>
  <c r="G591" i="3"/>
  <c r="H591" i="3"/>
  <c r="I591" i="3"/>
  <c r="G592" i="3"/>
  <c r="H592" i="3"/>
  <c r="I592" i="3"/>
  <c r="G593" i="3"/>
  <c r="H593" i="3"/>
  <c r="I593" i="3"/>
  <c r="G594" i="3"/>
  <c r="H594" i="3"/>
  <c r="I594" i="3"/>
  <c r="G595" i="3"/>
  <c r="H595" i="3"/>
  <c r="I595" i="3"/>
  <c r="G596" i="3"/>
  <c r="H596" i="3"/>
  <c r="I596" i="3"/>
  <c r="G597" i="3"/>
  <c r="H597" i="3"/>
  <c r="I597" i="3"/>
  <c r="G598" i="3"/>
  <c r="H598" i="3"/>
  <c r="I598" i="3"/>
  <c r="G599" i="3"/>
  <c r="H599" i="3"/>
  <c r="I599" i="3"/>
  <c r="G600" i="3"/>
  <c r="H600" i="3"/>
  <c r="I600" i="3"/>
  <c r="G601" i="3"/>
  <c r="H601" i="3"/>
  <c r="I601" i="3"/>
  <c r="G602" i="3"/>
  <c r="H602" i="3"/>
  <c r="I602" i="3"/>
  <c r="G603" i="3"/>
  <c r="H603" i="3"/>
  <c r="I603" i="3"/>
  <c r="G604" i="3"/>
  <c r="H604" i="3"/>
  <c r="I604" i="3"/>
  <c r="G605" i="3"/>
  <c r="H605" i="3"/>
  <c r="I605" i="3"/>
  <c r="G606" i="3"/>
  <c r="H606" i="3"/>
  <c r="I606" i="3"/>
  <c r="G607" i="3"/>
  <c r="H607" i="3"/>
  <c r="I607" i="3"/>
  <c r="G608" i="3"/>
  <c r="H608" i="3"/>
  <c r="I608" i="3"/>
  <c r="G609" i="3"/>
  <c r="H609" i="3"/>
  <c r="I609" i="3"/>
  <c r="G610" i="3"/>
  <c r="H610" i="3"/>
  <c r="I610" i="3"/>
  <c r="G611" i="3"/>
  <c r="H611" i="3"/>
  <c r="I611" i="3"/>
  <c r="G612" i="3"/>
  <c r="H612" i="3"/>
  <c r="I612" i="3"/>
  <c r="G613" i="3"/>
  <c r="H613" i="3"/>
  <c r="I613" i="3"/>
  <c r="G614" i="3"/>
  <c r="H614" i="3"/>
  <c r="I614" i="3"/>
  <c r="G615" i="3"/>
  <c r="H615" i="3"/>
  <c r="I615" i="3"/>
  <c r="G616" i="3"/>
  <c r="H616" i="3"/>
  <c r="I616" i="3"/>
  <c r="G617" i="3"/>
  <c r="H617" i="3"/>
  <c r="I617" i="3"/>
  <c r="G618" i="3"/>
  <c r="H618" i="3"/>
  <c r="I618" i="3"/>
  <c r="G619" i="3"/>
  <c r="H619" i="3"/>
  <c r="I619" i="3"/>
  <c r="G620" i="3"/>
  <c r="H620" i="3"/>
  <c r="I620" i="3"/>
  <c r="G621" i="3"/>
  <c r="H621" i="3"/>
  <c r="I621" i="3"/>
  <c r="G622" i="3"/>
  <c r="H622" i="3"/>
  <c r="I622" i="3"/>
  <c r="G623" i="3"/>
  <c r="H623" i="3"/>
  <c r="I623" i="3"/>
  <c r="G624" i="3"/>
  <c r="H624" i="3"/>
  <c r="I624" i="3"/>
  <c r="G625" i="3"/>
  <c r="H625" i="3"/>
  <c r="I625" i="3"/>
  <c r="G626" i="3"/>
  <c r="H626" i="3"/>
  <c r="I626" i="3"/>
  <c r="G627" i="3"/>
  <c r="H627" i="3"/>
  <c r="I627" i="3"/>
  <c r="G628" i="3"/>
  <c r="H628" i="3"/>
  <c r="I628" i="3"/>
  <c r="G629" i="3"/>
  <c r="H629" i="3"/>
  <c r="I629" i="3"/>
  <c r="G630" i="3"/>
  <c r="H630" i="3"/>
  <c r="I630" i="3"/>
  <c r="G631" i="3"/>
  <c r="H631" i="3"/>
  <c r="I631" i="3"/>
  <c r="G632" i="3"/>
  <c r="H632" i="3"/>
  <c r="I632" i="3"/>
  <c r="G633" i="3"/>
  <c r="H633" i="3"/>
  <c r="I633" i="3"/>
  <c r="G634" i="3"/>
  <c r="H634" i="3"/>
  <c r="I634" i="3"/>
  <c r="G635" i="3"/>
  <c r="H635" i="3"/>
  <c r="I635" i="3"/>
  <c r="G636" i="3"/>
  <c r="H636" i="3"/>
  <c r="I636" i="3"/>
  <c r="G637" i="3"/>
  <c r="H637" i="3"/>
  <c r="I637" i="3"/>
  <c r="G638" i="3"/>
  <c r="H638" i="3"/>
  <c r="I638" i="3"/>
  <c r="G639" i="3"/>
  <c r="H639" i="3"/>
  <c r="I639" i="3"/>
  <c r="G640" i="3"/>
  <c r="H640" i="3"/>
  <c r="I640" i="3"/>
  <c r="G641" i="3"/>
  <c r="H641" i="3"/>
  <c r="I641" i="3"/>
  <c r="G642" i="3"/>
  <c r="H642" i="3"/>
  <c r="I642" i="3"/>
  <c r="G643" i="3"/>
  <c r="H643" i="3"/>
  <c r="I643" i="3"/>
  <c r="G644" i="3"/>
  <c r="H644" i="3"/>
  <c r="I644" i="3"/>
  <c r="G645" i="3"/>
  <c r="H645" i="3"/>
  <c r="I645" i="3"/>
  <c r="G646" i="3"/>
  <c r="H646" i="3"/>
  <c r="I646" i="3"/>
  <c r="G647" i="3"/>
  <c r="H647" i="3"/>
  <c r="I647" i="3"/>
  <c r="G648" i="3"/>
  <c r="H648" i="3"/>
  <c r="I648" i="3"/>
  <c r="G649" i="3"/>
  <c r="H649" i="3"/>
  <c r="I649" i="3"/>
  <c r="G650" i="3"/>
  <c r="H650" i="3"/>
  <c r="I650" i="3"/>
  <c r="G651" i="3"/>
  <c r="H651" i="3"/>
  <c r="I651" i="3"/>
  <c r="G652" i="3"/>
  <c r="H652" i="3"/>
  <c r="I652" i="3"/>
  <c r="G653" i="3"/>
  <c r="H653" i="3"/>
  <c r="I653" i="3"/>
  <c r="G654" i="3"/>
  <c r="H654" i="3"/>
  <c r="I654" i="3"/>
  <c r="G655" i="3"/>
  <c r="H655" i="3"/>
  <c r="I655" i="3"/>
  <c r="G656" i="3"/>
  <c r="H656" i="3"/>
  <c r="I656" i="3"/>
  <c r="G657" i="3"/>
  <c r="H657" i="3"/>
  <c r="I657" i="3"/>
  <c r="G658" i="3"/>
  <c r="H658" i="3"/>
  <c r="I658" i="3"/>
  <c r="G659" i="3"/>
  <c r="H659" i="3"/>
  <c r="I659" i="3"/>
  <c r="G660" i="3"/>
  <c r="H660" i="3"/>
  <c r="I660" i="3"/>
  <c r="G661" i="3"/>
  <c r="H661" i="3"/>
  <c r="I661" i="3"/>
  <c r="G662" i="3"/>
  <c r="H662" i="3"/>
  <c r="I662" i="3"/>
  <c r="G663" i="3"/>
  <c r="H663" i="3"/>
  <c r="I663" i="3"/>
  <c r="G664" i="3"/>
  <c r="H664" i="3"/>
  <c r="I664" i="3"/>
  <c r="G665" i="3"/>
  <c r="H665" i="3"/>
  <c r="I665" i="3"/>
  <c r="G666" i="3"/>
  <c r="H666" i="3"/>
  <c r="I666" i="3"/>
  <c r="G667" i="3"/>
  <c r="H667" i="3"/>
  <c r="I667" i="3"/>
  <c r="G668" i="3"/>
  <c r="H668" i="3"/>
  <c r="I668" i="3"/>
  <c r="G669" i="3"/>
  <c r="H669" i="3"/>
  <c r="I669" i="3"/>
  <c r="G670" i="3"/>
  <c r="H670" i="3"/>
  <c r="I670" i="3"/>
  <c r="G671" i="3"/>
  <c r="H671" i="3"/>
  <c r="I671" i="3"/>
  <c r="G672" i="3"/>
  <c r="H672" i="3"/>
  <c r="I672" i="3"/>
  <c r="G673" i="3"/>
  <c r="H673" i="3"/>
  <c r="I673" i="3"/>
  <c r="G674" i="3"/>
  <c r="H674" i="3"/>
  <c r="I674" i="3"/>
  <c r="G675" i="3"/>
  <c r="H675" i="3"/>
  <c r="I675" i="3"/>
  <c r="G676" i="3"/>
  <c r="H676" i="3"/>
  <c r="I676" i="3"/>
  <c r="G677" i="3"/>
  <c r="H677" i="3"/>
  <c r="I677" i="3"/>
  <c r="I2" i="3"/>
  <c r="H2" i="3"/>
  <c r="G2" i="3"/>
  <c r="R855" i="3" l="1"/>
  <c r="R851" i="3"/>
  <c r="R843" i="3"/>
  <c r="R839" i="3"/>
  <c r="R831" i="3"/>
  <c r="R827" i="3"/>
  <c r="R889" i="3"/>
  <c r="R881" i="3"/>
  <c r="R877" i="3"/>
  <c r="R869" i="3"/>
  <c r="R865" i="3"/>
  <c r="R890" i="3"/>
  <c r="R905" i="3"/>
  <c r="R901" i="3"/>
  <c r="R893" i="3"/>
  <c r="R941" i="3"/>
  <c r="R937" i="3"/>
  <c r="R929" i="3"/>
  <c r="R925" i="3"/>
  <c r="R917" i="3"/>
  <c r="R946" i="3"/>
  <c r="R966" i="3"/>
  <c r="R962" i="3"/>
  <c r="R958" i="3"/>
  <c r="R954" i="3"/>
  <c r="R950" i="3"/>
  <c r="R970" i="3"/>
  <c r="R987" i="3"/>
  <c r="R983" i="3"/>
  <c r="R975" i="3"/>
  <c r="R1014" i="3"/>
  <c r="R1010" i="3"/>
  <c r="R1006" i="3"/>
  <c r="R1002" i="3"/>
  <c r="R998" i="3"/>
  <c r="R994" i="3"/>
  <c r="R990" i="3"/>
  <c r="R1037" i="3"/>
  <c r="R1033" i="3"/>
  <c r="R1025" i="3"/>
  <c r="R1021" i="3"/>
  <c r="R1043" i="3"/>
  <c r="R1081" i="3"/>
  <c r="R1073" i="3"/>
  <c r="R1069" i="3"/>
  <c r="R1061" i="3"/>
  <c r="R1082" i="3"/>
  <c r="R1112" i="3"/>
  <c r="R1108" i="3"/>
  <c r="R1104" i="3"/>
  <c r="R1100" i="3"/>
  <c r="R1096" i="3"/>
  <c r="R1092" i="3"/>
  <c r="R1088" i="3"/>
  <c r="R1168" i="3"/>
  <c r="R1162" i="3"/>
  <c r="R1156" i="3"/>
  <c r="R1150" i="3"/>
  <c r="R1144" i="3"/>
  <c r="R1169" i="3"/>
  <c r="R1174" i="3"/>
  <c r="R1211" i="3"/>
  <c r="R1205" i="3"/>
  <c r="R1199" i="3"/>
  <c r="R1193" i="3"/>
  <c r="R1187" i="3"/>
  <c r="R1213" i="3"/>
  <c r="R1230" i="3"/>
  <c r="R1224" i="3"/>
  <c r="R1218" i="3"/>
  <c r="R1235" i="3"/>
  <c r="R228" i="3"/>
  <c r="R232" i="3"/>
  <c r="R236" i="3"/>
  <c r="R240" i="3"/>
  <c r="R244" i="3"/>
  <c r="R248" i="3"/>
  <c r="R252" i="3"/>
  <c r="R256" i="3"/>
  <c r="R260" i="3"/>
  <c r="R264" i="3"/>
  <c r="R268" i="3"/>
  <c r="R272" i="3"/>
  <c r="R276" i="3"/>
  <c r="R280" i="3"/>
  <c r="R284" i="3"/>
  <c r="R1029" i="3"/>
  <c r="R979" i="3"/>
  <c r="R835" i="3"/>
  <c r="R109" i="3"/>
  <c r="R101" i="3"/>
  <c r="R97" i="3"/>
  <c r="R93" i="3"/>
  <c r="R89" i="3"/>
  <c r="R85" i="3"/>
  <c r="R81" i="3"/>
  <c r="R77" i="3"/>
  <c r="R73" i="3"/>
  <c r="R69" i="3"/>
  <c r="R65" i="3"/>
  <c r="R61" i="3"/>
  <c r="R57" i="3"/>
  <c r="R53" i="3"/>
  <c r="R49" i="3"/>
  <c r="R41" i="3"/>
  <c r="R37" i="3"/>
  <c r="R29" i="3"/>
  <c r="R25" i="3"/>
  <c r="R21" i="3"/>
  <c r="R17" i="3"/>
  <c r="R13" i="3"/>
  <c r="R9" i="3"/>
  <c r="R5" i="3"/>
  <c r="R678" i="3"/>
  <c r="R710" i="3"/>
  <c r="R706" i="3"/>
  <c r="R702" i="3"/>
  <c r="R694" i="3"/>
  <c r="R690" i="3"/>
  <c r="R686" i="3"/>
  <c r="R682" i="3"/>
  <c r="R714" i="3"/>
  <c r="R739" i="3"/>
  <c r="R735" i="3"/>
  <c r="R731" i="3"/>
  <c r="R727" i="3"/>
  <c r="R723" i="3"/>
  <c r="R719" i="3"/>
  <c r="R749" i="3"/>
  <c r="R745" i="3"/>
  <c r="R780" i="3"/>
  <c r="R776" i="3"/>
  <c r="R772" i="3"/>
  <c r="R768" i="3"/>
  <c r="R764" i="3"/>
  <c r="R760" i="3"/>
  <c r="R756" i="3"/>
  <c r="R752" i="3"/>
  <c r="R787" i="3"/>
  <c r="R801" i="3"/>
  <c r="R797" i="3"/>
  <c r="R793" i="3"/>
  <c r="R818" i="3"/>
  <c r="R814" i="3"/>
  <c r="R810" i="3"/>
  <c r="R806" i="3"/>
  <c r="R802" i="3"/>
  <c r="R1052" i="3"/>
  <c r="R1048" i="3"/>
  <c r="R1044" i="3"/>
  <c r="R1167" i="3"/>
  <c r="R1155" i="3"/>
  <c r="R1179" i="3"/>
  <c r="R1210" i="3"/>
  <c r="R1204" i="3"/>
  <c r="R1198" i="3"/>
  <c r="R1192" i="3"/>
  <c r="R1186" i="3"/>
  <c r="R1212" i="3"/>
  <c r="R1229" i="3"/>
  <c r="R1223" i="3"/>
  <c r="R1217" i="3"/>
  <c r="R379" i="3"/>
  <c r="R823" i="3"/>
  <c r="R670" i="3"/>
  <c r="R662" i="3"/>
  <c r="R654" i="3"/>
  <c r="R646" i="3"/>
  <c r="R638" i="3"/>
  <c r="R626" i="3"/>
  <c r="R618" i="3"/>
  <c r="R610" i="3"/>
  <c r="R598" i="3"/>
  <c r="R590" i="3"/>
  <c r="R582" i="3"/>
  <c r="R574" i="3"/>
  <c r="R566" i="3"/>
  <c r="R558" i="3"/>
  <c r="R546" i="3"/>
  <c r="R538" i="3"/>
  <c r="R530" i="3"/>
  <c r="R522" i="3"/>
  <c r="R510" i="3"/>
  <c r="R885" i="3"/>
  <c r="R674" i="3"/>
  <c r="R666" i="3"/>
  <c r="R658" i="3"/>
  <c r="R650" i="3"/>
  <c r="R642" i="3"/>
  <c r="R634" i="3"/>
  <c r="R630" i="3"/>
  <c r="R622" i="3"/>
  <c r="R614" i="3"/>
  <c r="R602" i="3"/>
  <c r="R594" i="3"/>
  <c r="R586" i="3"/>
  <c r="R578" i="3"/>
  <c r="R570" i="3"/>
  <c r="R562" i="3"/>
  <c r="R554" i="3"/>
  <c r="R550" i="3"/>
  <c r="R542" i="3"/>
  <c r="R534" i="3"/>
  <c r="R526" i="3"/>
  <c r="R518" i="3"/>
  <c r="R514" i="3"/>
  <c r="R506" i="3"/>
  <c r="R677" i="3"/>
  <c r="R673" i="3"/>
  <c r="R669" i="3"/>
  <c r="R665" i="3"/>
  <c r="R661" i="3"/>
  <c r="R657" i="3"/>
  <c r="R653" i="3"/>
  <c r="R649" i="3"/>
  <c r="R645" i="3"/>
  <c r="R641" i="3"/>
  <c r="R637" i="3"/>
  <c r="R633" i="3"/>
  <c r="R629" i="3"/>
  <c r="R625" i="3"/>
  <c r="R617" i="3"/>
  <c r="R613" i="3"/>
  <c r="R605" i="3"/>
  <c r="R601" i="3"/>
  <c r="R597" i="3"/>
  <c r="R593" i="3"/>
  <c r="R589" i="3"/>
  <c r="R585" i="3"/>
  <c r="R581" i="3"/>
  <c r="R577" i="3"/>
  <c r="R573" i="3"/>
  <c r="R569" i="3"/>
  <c r="R565" i="3"/>
  <c r="R561" i="3"/>
  <c r="R557" i="3"/>
  <c r="R553" i="3"/>
  <c r="R545" i="3"/>
  <c r="R541" i="3"/>
  <c r="R533" i="3"/>
  <c r="R529" i="3"/>
  <c r="R525" i="3"/>
  <c r="R521" i="3"/>
  <c r="R517" i="3"/>
  <c r="R513" i="3"/>
  <c r="R509" i="3"/>
  <c r="R505" i="3"/>
  <c r="R501" i="3"/>
  <c r="R497" i="3"/>
  <c r="R493" i="3"/>
  <c r="R489" i="3"/>
  <c r="R485" i="3"/>
  <c r="R481" i="3"/>
  <c r="R473" i="3"/>
  <c r="R469" i="3"/>
  <c r="R461" i="3"/>
  <c r="R457" i="3"/>
  <c r="R453" i="3"/>
  <c r="R449" i="3"/>
  <c r="R445" i="3"/>
  <c r="R441" i="3"/>
  <c r="R437" i="3"/>
  <c r="R433" i="3"/>
  <c r="R429" i="3"/>
  <c r="R425" i="3"/>
  <c r="R421" i="3"/>
  <c r="R417" i="3"/>
  <c r="R413" i="3"/>
  <c r="R409" i="3"/>
  <c r="R1065" i="3"/>
  <c r="R945" i="3"/>
  <c r="R873" i="3"/>
  <c r="R820" i="3"/>
  <c r="R853" i="3"/>
  <c r="R845" i="3"/>
  <c r="R841" i="3"/>
  <c r="R833" i="3"/>
  <c r="R829" i="3"/>
  <c r="R858" i="3"/>
  <c r="R887" i="3"/>
  <c r="R879" i="3"/>
  <c r="R875" i="3"/>
  <c r="R867" i="3"/>
  <c r="R863" i="3"/>
  <c r="R911" i="3"/>
  <c r="R871" i="3"/>
  <c r="R1173" i="3"/>
  <c r="R933" i="3"/>
  <c r="R861" i="3"/>
  <c r="R621" i="3"/>
  <c r="R606" i="3"/>
  <c r="R859" i="3"/>
  <c r="R783" i="3"/>
  <c r="R609" i="3"/>
  <c r="R1041" i="3"/>
  <c r="R921" i="3"/>
  <c r="R849" i="3"/>
  <c r="R549" i="3"/>
  <c r="R115" i="3"/>
  <c r="R110" i="3"/>
  <c r="R102" i="3"/>
  <c r="R98" i="3"/>
  <c r="R90" i="3"/>
  <c r="R86" i="3"/>
  <c r="R78" i="3"/>
  <c r="R74" i="3"/>
  <c r="R66" i="3"/>
  <c r="R62" i="3"/>
  <c r="R54" i="3"/>
  <c r="R50" i="3"/>
  <c r="R42" i="3"/>
  <c r="R38" i="3"/>
  <c r="R30" i="3"/>
  <c r="R26" i="3"/>
  <c r="R18" i="3"/>
  <c r="R14" i="3"/>
  <c r="R6" i="3"/>
  <c r="R679" i="3"/>
  <c r="R711" i="3"/>
  <c r="R707" i="3"/>
  <c r="R703" i="3"/>
  <c r="R699" i="3"/>
  <c r="R695" i="3"/>
  <c r="R691" i="3"/>
  <c r="R687" i="3"/>
  <c r="R683" i="3"/>
  <c r="R715" i="3"/>
  <c r="R736" i="3"/>
  <c r="R724" i="3"/>
  <c r="R716" i="3"/>
  <c r="R784" i="3"/>
  <c r="R380" i="3"/>
  <c r="R788" i="3"/>
  <c r="R773" i="3"/>
  <c r="R46" i="3"/>
  <c r="R498" i="3"/>
  <c r="R494" i="3"/>
  <c r="R486" i="3"/>
  <c r="R482" i="3"/>
  <c r="R474" i="3"/>
  <c r="R470" i="3"/>
  <c r="R462" i="3"/>
  <c r="R458" i="3"/>
  <c r="R450" i="3"/>
  <c r="R446" i="3"/>
  <c r="R438" i="3"/>
  <c r="R434" i="3"/>
  <c r="R426" i="3"/>
  <c r="R414" i="3"/>
  <c r="R402" i="3"/>
  <c r="R398" i="3"/>
  <c r="R390" i="3"/>
  <c r="R386" i="3"/>
  <c r="R375" i="3"/>
  <c r="R371" i="3"/>
  <c r="R367" i="3"/>
  <c r="R363" i="3"/>
  <c r="R359" i="3"/>
  <c r="R355" i="3"/>
  <c r="R351" i="3"/>
  <c r="R347" i="3"/>
  <c r="R343" i="3"/>
  <c r="R339" i="3"/>
  <c r="R335" i="3"/>
  <c r="R331" i="3"/>
  <c r="R327" i="3"/>
  <c r="R323" i="3"/>
  <c r="R319" i="3"/>
  <c r="R315" i="3"/>
  <c r="R311" i="3"/>
  <c r="R307" i="3"/>
  <c r="R303" i="3"/>
  <c r="R299" i="3"/>
  <c r="R295" i="3"/>
  <c r="R291" i="3"/>
  <c r="R287" i="3"/>
  <c r="R224" i="3"/>
  <c r="R220" i="3"/>
  <c r="R216" i="3"/>
  <c r="R212" i="3"/>
  <c r="R208" i="3"/>
  <c r="R204" i="3"/>
  <c r="R200" i="3"/>
  <c r="R196" i="3"/>
  <c r="R192" i="3"/>
  <c r="R188" i="3"/>
  <c r="R184" i="3"/>
  <c r="R180" i="3"/>
  <c r="R176" i="3"/>
  <c r="R172" i="3"/>
  <c r="R168" i="3"/>
  <c r="R164" i="3"/>
  <c r="R160" i="3"/>
  <c r="R156" i="3"/>
  <c r="R152" i="3"/>
  <c r="R148" i="3"/>
  <c r="R144" i="3"/>
  <c r="R140" i="3"/>
  <c r="R136" i="3"/>
  <c r="R132" i="3"/>
  <c r="R128" i="3"/>
  <c r="R124" i="3"/>
  <c r="R120" i="3"/>
  <c r="R114" i="3"/>
  <c r="R2" i="3"/>
  <c r="R728" i="3"/>
  <c r="R466" i="3"/>
  <c r="R394" i="3"/>
  <c r="R106" i="3"/>
  <c r="R34" i="3"/>
  <c r="R119" i="3"/>
  <c r="R113" i="3"/>
  <c r="R229" i="3"/>
  <c r="R233" i="3"/>
  <c r="R241" i="3"/>
  <c r="R245" i="3"/>
  <c r="R253" i="3"/>
  <c r="R257" i="3"/>
  <c r="R265" i="3"/>
  <c r="R269" i="3"/>
  <c r="R277" i="3"/>
  <c r="R281" i="3"/>
  <c r="R1242" i="3"/>
  <c r="R978" i="3"/>
  <c r="R846" i="3"/>
  <c r="R834" i="3"/>
  <c r="R822" i="3"/>
  <c r="R740" i="3"/>
  <c r="R454" i="3"/>
  <c r="R382" i="3"/>
  <c r="R94" i="3"/>
  <c r="R22" i="3"/>
  <c r="R401" i="3"/>
  <c r="R397" i="3"/>
  <c r="R389" i="3"/>
  <c r="R385" i="3"/>
  <c r="R378" i="3"/>
  <c r="R374" i="3"/>
  <c r="R366" i="3"/>
  <c r="R362" i="3"/>
  <c r="R354" i="3"/>
  <c r="R350" i="3"/>
  <c r="R342" i="3"/>
  <c r="R338" i="3"/>
  <c r="R330" i="3"/>
  <c r="R326" i="3"/>
  <c r="R318" i="3"/>
  <c r="R314" i="3"/>
  <c r="R306" i="3"/>
  <c r="R302" i="3"/>
  <c r="R294" i="3"/>
  <c r="R290" i="3"/>
  <c r="R223" i="3"/>
  <c r="R219" i="3"/>
  <c r="R215" i="3"/>
  <c r="R211" i="3"/>
  <c r="R207" i="3"/>
  <c r="R203" i="3"/>
  <c r="R199" i="3"/>
  <c r="R195" i="3"/>
  <c r="R191" i="3"/>
  <c r="R187" i="3"/>
  <c r="R183" i="3"/>
  <c r="R179" i="3"/>
  <c r="R175" i="3"/>
  <c r="R171" i="3"/>
  <c r="R167" i="3"/>
  <c r="R163" i="3"/>
  <c r="R159" i="3"/>
  <c r="R155" i="3"/>
  <c r="R151" i="3"/>
  <c r="R147" i="3"/>
  <c r="R143" i="3"/>
  <c r="R139" i="3"/>
  <c r="R135" i="3"/>
  <c r="R131" i="3"/>
  <c r="R127" i="3"/>
  <c r="R123" i="3"/>
  <c r="R1133" i="3"/>
  <c r="R1121" i="3"/>
  <c r="R1085" i="3"/>
  <c r="R1049" i="3"/>
  <c r="R1013" i="3"/>
  <c r="R1001" i="3"/>
  <c r="R989" i="3"/>
  <c r="R965" i="3"/>
  <c r="R953" i="3"/>
  <c r="R821" i="3"/>
  <c r="R781" i="3"/>
  <c r="R753" i="3"/>
  <c r="R237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R36" i="3"/>
  <c r="R32" i="3"/>
  <c r="R28" i="3"/>
  <c r="R24" i="3"/>
  <c r="R20" i="3"/>
  <c r="R16" i="3"/>
  <c r="R12" i="3"/>
  <c r="R8" i="3"/>
  <c r="R4" i="3"/>
  <c r="R713" i="3"/>
  <c r="R709" i="3"/>
  <c r="R701" i="3"/>
  <c r="R697" i="3"/>
  <c r="R689" i="3"/>
  <c r="R685" i="3"/>
  <c r="R722" i="3"/>
  <c r="R748" i="3"/>
  <c r="R775" i="3"/>
  <c r="R763" i="3"/>
  <c r="R751" i="3"/>
  <c r="R796" i="3"/>
  <c r="R1180" i="3"/>
  <c r="R1084" i="3"/>
  <c r="R1036" i="3"/>
  <c r="R1024" i="3"/>
  <c r="R940" i="3"/>
  <c r="R928" i="3"/>
  <c r="R916" i="3"/>
  <c r="R904" i="3"/>
  <c r="R892" i="3"/>
  <c r="R880" i="3"/>
  <c r="R868" i="3"/>
  <c r="R807" i="3"/>
  <c r="R794" i="3"/>
  <c r="R720" i="3"/>
  <c r="R442" i="3"/>
  <c r="R370" i="3"/>
  <c r="R298" i="3"/>
  <c r="R82" i="3"/>
  <c r="R10" i="3"/>
  <c r="R230" i="3"/>
  <c r="R234" i="3"/>
  <c r="R242" i="3"/>
  <c r="R246" i="3"/>
  <c r="R254" i="3"/>
  <c r="R258" i="3"/>
  <c r="R270" i="3"/>
  <c r="R282" i="3"/>
  <c r="R1239" i="3"/>
  <c r="R1227" i="3"/>
  <c r="R1107" i="3"/>
  <c r="R1095" i="3"/>
  <c r="R1083" i="3"/>
  <c r="R1035" i="3"/>
  <c r="R1023" i="3"/>
  <c r="R939" i="3"/>
  <c r="R927" i="3"/>
  <c r="R915" i="3"/>
  <c r="R903" i="3"/>
  <c r="R819" i="3"/>
  <c r="R779" i="3"/>
  <c r="R765" i="3"/>
  <c r="R676" i="3"/>
  <c r="R672" i="3"/>
  <c r="R668" i="3"/>
  <c r="R664" i="3"/>
  <c r="R660" i="3"/>
  <c r="R656" i="3"/>
  <c r="R652" i="3"/>
  <c r="R648" i="3"/>
  <c r="R644" i="3"/>
  <c r="R640" i="3"/>
  <c r="R636" i="3"/>
  <c r="R632" i="3"/>
  <c r="R628" i="3"/>
  <c r="R624" i="3"/>
  <c r="R620" i="3"/>
  <c r="R616" i="3"/>
  <c r="R612" i="3"/>
  <c r="R608" i="3"/>
  <c r="R604" i="3"/>
  <c r="R600" i="3"/>
  <c r="R596" i="3"/>
  <c r="R592" i="3"/>
  <c r="R588" i="3"/>
  <c r="R584" i="3"/>
  <c r="R580" i="3"/>
  <c r="R576" i="3"/>
  <c r="R572" i="3"/>
  <c r="R568" i="3"/>
  <c r="R564" i="3"/>
  <c r="R560" i="3"/>
  <c r="R556" i="3"/>
  <c r="R552" i="3"/>
  <c r="R548" i="3"/>
  <c r="R544" i="3"/>
  <c r="R540" i="3"/>
  <c r="R536" i="3"/>
  <c r="R532" i="3"/>
  <c r="R528" i="3"/>
  <c r="R524" i="3"/>
  <c r="R520" i="3"/>
  <c r="R516" i="3"/>
  <c r="R512" i="3"/>
  <c r="R508" i="3"/>
  <c r="R504" i="3"/>
  <c r="R500" i="3"/>
  <c r="R496" i="3"/>
  <c r="R492" i="3"/>
  <c r="R488" i="3"/>
  <c r="R484" i="3"/>
  <c r="R480" i="3"/>
  <c r="R476" i="3"/>
  <c r="R472" i="3"/>
  <c r="R468" i="3"/>
  <c r="R464" i="3"/>
  <c r="R460" i="3"/>
  <c r="R456" i="3"/>
  <c r="R452" i="3"/>
  <c r="R448" i="3"/>
  <c r="R444" i="3"/>
  <c r="R440" i="3"/>
  <c r="R436" i="3"/>
  <c r="R432" i="3"/>
  <c r="R428" i="3"/>
  <c r="R424" i="3"/>
  <c r="R420" i="3"/>
  <c r="R416" i="3"/>
  <c r="R412" i="3"/>
  <c r="R408" i="3"/>
  <c r="R404" i="3"/>
  <c r="R400" i="3"/>
  <c r="R396" i="3"/>
  <c r="R392" i="3"/>
  <c r="R388" i="3"/>
  <c r="R384" i="3"/>
  <c r="R377" i="3"/>
  <c r="R373" i="3"/>
  <c r="R365" i="3"/>
  <c r="R361" i="3"/>
  <c r="R353" i="3"/>
  <c r="R349" i="3"/>
  <c r="R341" i="3"/>
  <c r="R337" i="3"/>
  <c r="R329" i="3"/>
  <c r="R325" i="3"/>
  <c r="R317" i="3"/>
  <c r="R313" i="3"/>
  <c r="R305" i="3"/>
  <c r="R301" i="3"/>
  <c r="R293" i="3"/>
  <c r="R289" i="3"/>
  <c r="R222" i="3"/>
  <c r="R218" i="3"/>
  <c r="R210" i="3"/>
  <c r="R206" i="3"/>
  <c r="R198" i="3"/>
  <c r="R194" i="3"/>
  <c r="R186" i="3"/>
  <c r="R182" i="3"/>
  <c r="R174" i="3"/>
  <c r="R170" i="3"/>
  <c r="R162" i="3"/>
  <c r="R158" i="3"/>
  <c r="R150" i="3"/>
  <c r="R146" i="3"/>
  <c r="R138" i="3"/>
  <c r="R126" i="3"/>
  <c r="R1238" i="3"/>
  <c r="R1202" i="3"/>
  <c r="R1190" i="3"/>
  <c r="R1178" i="3"/>
  <c r="R1166" i="3"/>
  <c r="R1154" i="3"/>
  <c r="R1142" i="3"/>
  <c r="R1106" i="3"/>
  <c r="R1094" i="3"/>
  <c r="R986" i="3"/>
  <c r="R974" i="3"/>
  <c r="R914" i="3"/>
  <c r="R830" i="3"/>
  <c r="R805" i="3"/>
  <c r="R792" i="3"/>
  <c r="R734" i="3"/>
  <c r="R718" i="3"/>
  <c r="R502" i="3"/>
  <c r="R430" i="3"/>
  <c r="R358" i="3"/>
  <c r="R286" i="3"/>
  <c r="R214" i="3"/>
  <c r="R142" i="3"/>
  <c r="R70" i="3"/>
  <c r="R111" i="3"/>
  <c r="R107" i="3"/>
  <c r="R103" i="3"/>
  <c r="R99" i="3"/>
  <c r="R95" i="3"/>
  <c r="R91" i="3"/>
  <c r="R87" i="3"/>
  <c r="R83" i="3"/>
  <c r="R79" i="3"/>
  <c r="R75" i="3"/>
  <c r="R71" i="3"/>
  <c r="R67" i="3"/>
  <c r="R63" i="3"/>
  <c r="R59" i="3"/>
  <c r="R55" i="3"/>
  <c r="R51" i="3"/>
  <c r="R47" i="3"/>
  <c r="R43" i="3"/>
  <c r="R39" i="3"/>
  <c r="R35" i="3"/>
  <c r="R31" i="3"/>
  <c r="R27" i="3"/>
  <c r="R23" i="3"/>
  <c r="R19" i="3"/>
  <c r="R15" i="3"/>
  <c r="R11" i="3"/>
  <c r="R7" i="3"/>
  <c r="R3" i="3"/>
  <c r="R712" i="3"/>
  <c r="R708" i="3"/>
  <c r="R704" i="3"/>
  <c r="R700" i="3"/>
  <c r="R696" i="3"/>
  <c r="R692" i="3"/>
  <c r="R688" i="3"/>
  <c r="R684" i="3"/>
  <c r="R680" i="3"/>
  <c r="R721" i="3"/>
  <c r="R808" i="3"/>
  <c r="R1237" i="3"/>
  <c r="R1201" i="3"/>
  <c r="R1189" i="3"/>
  <c r="R1177" i="3"/>
  <c r="R1165" i="3"/>
  <c r="R1153" i="3"/>
  <c r="R1141" i="3"/>
  <c r="R1129" i="3"/>
  <c r="R1117" i="3"/>
  <c r="R1057" i="3"/>
  <c r="R1045" i="3"/>
  <c r="R1009" i="3"/>
  <c r="R997" i="3"/>
  <c r="R985" i="3"/>
  <c r="R973" i="3"/>
  <c r="R961" i="3"/>
  <c r="R949" i="3"/>
  <c r="R817" i="3"/>
  <c r="R804" i="3"/>
  <c r="R791" i="3"/>
  <c r="R777" i="3"/>
  <c r="R762" i="3"/>
  <c r="R747" i="3"/>
  <c r="R733" i="3"/>
  <c r="R717" i="3"/>
  <c r="R357" i="3"/>
  <c r="R285" i="3"/>
  <c r="R116" i="3"/>
  <c r="R227" i="3"/>
  <c r="R231" i="3"/>
  <c r="R235" i="3"/>
  <c r="R239" i="3"/>
  <c r="R243" i="3"/>
  <c r="R247" i="3"/>
  <c r="R251" i="3"/>
  <c r="R255" i="3"/>
  <c r="R259" i="3"/>
  <c r="R263" i="3"/>
  <c r="R267" i="3"/>
  <c r="R271" i="3"/>
  <c r="R275" i="3"/>
  <c r="R279" i="3"/>
  <c r="R283" i="3"/>
  <c r="R1176" i="3"/>
  <c r="R1164" i="3"/>
  <c r="R1152" i="3"/>
  <c r="R1140" i="3"/>
  <c r="R1128" i="3"/>
  <c r="R1116" i="3"/>
  <c r="R1080" i="3"/>
  <c r="R1068" i="3"/>
  <c r="R1056" i="3"/>
  <c r="R1032" i="3"/>
  <c r="R1020" i="3"/>
  <c r="R1008" i="3"/>
  <c r="R996" i="3"/>
  <c r="R984" i="3"/>
  <c r="R972" i="3"/>
  <c r="R960" i="3"/>
  <c r="R948" i="3"/>
  <c r="R936" i="3"/>
  <c r="R924" i="3"/>
  <c r="R912" i="3"/>
  <c r="R900" i="3"/>
  <c r="R888" i="3"/>
  <c r="R876" i="3"/>
  <c r="R864" i="3"/>
  <c r="R852" i="3"/>
  <c r="R840" i="3"/>
  <c r="R828" i="3"/>
  <c r="R816" i="3"/>
  <c r="R803" i="3"/>
  <c r="R790" i="3"/>
  <c r="R761" i="3"/>
  <c r="R746" i="3"/>
  <c r="R732" i="3"/>
  <c r="R490" i="3"/>
  <c r="R418" i="3"/>
  <c r="R346" i="3"/>
  <c r="R274" i="3"/>
  <c r="R202" i="3"/>
  <c r="R130" i="3"/>
  <c r="R58" i="3"/>
  <c r="R675" i="3"/>
  <c r="R671" i="3"/>
  <c r="R667" i="3"/>
  <c r="R663" i="3"/>
  <c r="R659" i="3"/>
  <c r="R655" i="3"/>
  <c r="R651" i="3"/>
  <c r="R647" i="3"/>
  <c r="R643" i="3"/>
  <c r="R639" i="3"/>
  <c r="R635" i="3"/>
  <c r="R631" i="3"/>
  <c r="R627" i="3"/>
  <c r="R623" i="3"/>
  <c r="R619" i="3"/>
  <c r="R615" i="3"/>
  <c r="R611" i="3"/>
  <c r="R607" i="3"/>
  <c r="R603" i="3"/>
  <c r="R599" i="3"/>
  <c r="R595" i="3"/>
  <c r="R591" i="3"/>
  <c r="R587" i="3"/>
  <c r="R583" i="3"/>
  <c r="R579" i="3"/>
  <c r="R575" i="3"/>
  <c r="R571" i="3"/>
  <c r="R567" i="3"/>
  <c r="R563" i="3"/>
  <c r="R559" i="3"/>
  <c r="R555" i="3"/>
  <c r="R551" i="3"/>
  <c r="R547" i="3"/>
  <c r="R543" i="3"/>
  <c r="R539" i="3"/>
  <c r="R535" i="3"/>
  <c r="R531" i="3"/>
  <c r="R527" i="3"/>
  <c r="R523" i="3"/>
  <c r="R519" i="3"/>
  <c r="R515" i="3"/>
  <c r="R511" i="3"/>
  <c r="R507" i="3"/>
  <c r="R503" i="3"/>
  <c r="R499" i="3"/>
  <c r="R495" i="3"/>
  <c r="R491" i="3"/>
  <c r="R487" i="3"/>
  <c r="R483" i="3"/>
  <c r="R479" i="3"/>
  <c r="R475" i="3"/>
  <c r="R471" i="3"/>
  <c r="R467" i="3"/>
  <c r="R463" i="3"/>
  <c r="R459" i="3"/>
  <c r="R455" i="3"/>
  <c r="R451" i="3"/>
  <c r="R447" i="3"/>
  <c r="R443" i="3"/>
  <c r="R439" i="3"/>
  <c r="R435" i="3"/>
  <c r="R431" i="3"/>
  <c r="R427" i="3"/>
  <c r="R423" i="3"/>
  <c r="R419" i="3"/>
  <c r="R415" i="3"/>
  <c r="R411" i="3"/>
  <c r="R407" i="3"/>
  <c r="R403" i="3"/>
  <c r="R399" i="3"/>
  <c r="R395" i="3"/>
  <c r="R391" i="3"/>
  <c r="R387" i="3"/>
  <c r="R383" i="3"/>
  <c r="R376" i="3"/>
  <c r="R372" i="3"/>
  <c r="R368" i="3"/>
  <c r="R364" i="3"/>
  <c r="R360" i="3"/>
  <c r="R356" i="3"/>
  <c r="R352" i="3"/>
  <c r="R348" i="3"/>
  <c r="R344" i="3"/>
  <c r="R340" i="3"/>
  <c r="R336" i="3"/>
  <c r="R332" i="3"/>
  <c r="R328" i="3"/>
  <c r="R324" i="3"/>
  <c r="R320" i="3"/>
  <c r="R316" i="3"/>
  <c r="R312" i="3"/>
  <c r="R308" i="3"/>
  <c r="R304" i="3"/>
  <c r="R300" i="3"/>
  <c r="R296" i="3"/>
  <c r="R292" i="3"/>
  <c r="R288" i="3"/>
  <c r="R221" i="3"/>
  <c r="R217" i="3"/>
  <c r="R209" i="3"/>
  <c r="R205" i="3"/>
  <c r="R197" i="3"/>
  <c r="R193" i="3"/>
  <c r="R185" i="3"/>
  <c r="R181" i="3"/>
  <c r="R173" i="3"/>
  <c r="R169" i="3"/>
  <c r="R161" i="3"/>
  <c r="R157" i="3"/>
  <c r="R149" i="3"/>
  <c r="R145" i="3"/>
  <c r="R137" i="3"/>
  <c r="R133" i="3"/>
  <c r="R125" i="3"/>
  <c r="R121" i="3"/>
  <c r="R1175" i="3"/>
  <c r="R1163" i="3"/>
  <c r="R1151" i="3"/>
  <c r="R1139" i="3"/>
  <c r="R1127" i="3"/>
  <c r="R1115" i="3"/>
  <c r="R1103" i="3"/>
  <c r="R1091" i="3"/>
  <c r="R1079" i="3"/>
  <c r="R1067" i="3"/>
  <c r="R1055" i="3"/>
  <c r="R1031" i="3"/>
  <c r="R1019" i="3"/>
  <c r="R1007" i="3"/>
  <c r="R995" i="3"/>
  <c r="R971" i="3"/>
  <c r="R959" i="3"/>
  <c r="R947" i="3"/>
  <c r="R935" i="3"/>
  <c r="R923" i="3"/>
  <c r="R899" i="3"/>
  <c r="R815" i="3"/>
  <c r="R789" i="3"/>
  <c r="R774" i="3"/>
  <c r="R759" i="3"/>
  <c r="R705" i="3"/>
  <c r="R345" i="3"/>
  <c r="R273" i="3"/>
  <c r="R201" i="3"/>
  <c r="R129" i="3"/>
</calcChain>
</file>

<file path=xl/sharedStrings.xml><?xml version="1.0" encoding="utf-8"?>
<sst xmlns="http://schemas.openxmlformats.org/spreadsheetml/2006/main" count="8149" uniqueCount="58">
  <si>
    <t>Site</t>
  </si>
  <si>
    <t>Zone</t>
  </si>
  <si>
    <t>Date</t>
  </si>
  <si>
    <t>Campaign</t>
  </si>
  <si>
    <t>Water</t>
  </si>
  <si>
    <t>Sampler</t>
  </si>
  <si>
    <t>Repl</t>
  </si>
  <si>
    <t>Analysis</t>
  </si>
  <si>
    <t>OWC</t>
  </si>
  <si>
    <t>W</t>
  </si>
  <si>
    <t>MonMon</t>
  </si>
  <si>
    <t>PW</t>
  </si>
  <si>
    <t>Nutrients</t>
  </si>
  <si>
    <t>PTR</t>
  </si>
  <si>
    <t>TR</t>
  </si>
  <si>
    <t>Lys</t>
  </si>
  <si>
    <t>CRC</t>
  </si>
  <si>
    <t>UP</t>
  </si>
  <si>
    <t>Rz</t>
  </si>
  <si>
    <t>Stand</t>
  </si>
  <si>
    <t>Year</t>
  </si>
  <si>
    <t>Month</t>
  </si>
  <si>
    <t>Day</t>
  </si>
  <si>
    <t>A</t>
  </si>
  <si>
    <t>B</t>
  </si>
  <si>
    <t>C</t>
  </si>
  <si>
    <t>RZ</t>
  </si>
  <si>
    <t>Sip</t>
  </si>
  <si>
    <t>OW</t>
  </si>
  <si>
    <t>Stream</t>
  </si>
  <si>
    <t>MSM</t>
  </si>
  <si>
    <t>ABC</t>
  </si>
  <si>
    <t>ST</t>
  </si>
  <si>
    <t>GW</t>
  </si>
  <si>
    <t>Depth</t>
  </si>
  <si>
    <t>AB</t>
  </si>
  <si>
    <t xml:space="preserve">1 2 </t>
  </si>
  <si>
    <t>3 4</t>
  </si>
  <si>
    <t>Rhz</t>
  </si>
  <si>
    <t>2A</t>
  </si>
  <si>
    <t>2B</t>
  </si>
  <si>
    <t>2C</t>
  </si>
  <si>
    <t>3B</t>
  </si>
  <si>
    <t>3C</t>
  </si>
  <si>
    <t>4A</t>
  </si>
  <si>
    <t>4B</t>
  </si>
  <si>
    <t>4C</t>
  </si>
  <si>
    <t>?</t>
  </si>
  <si>
    <t>NA</t>
  </si>
  <si>
    <t>Blank</t>
  </si>
  <si>
    <t>Nutri</t>
  </si>
  <si>
    <t>WE</t>
  </si>
  <si>
    <t>Box</t>
  </si>
  <si>
    <t>box_trail</t>
  </si>
  <si>
    <t>vial_check</t>
  </si>
  <si>
    <t>vial_ID</t>
  </si>
  <si>
    <t>Label_1</t>
  </si>
  <si>
    <t>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</si>
</sst>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" fontId="0" fillId="0" borderId="0" xfId="0" applyNumberFormat="1"/>
    <xf numFmtId="2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  <xf numFmtId="14" fontId="1" fillId="2" borderId="0" xfId="0" applyNumberFormat="1" applyFont="1" applyFill="1"/>
    <xf numFmtId="16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7"/>
      <color rgb="FFF1C3F9"/>
      <color rgb="FF8F4E9C"/>
      <color rgb="FF730000"/>
      <color rgb="FFB0EAFF"/>
      <color rgb="FFFFC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CAF8-27B6-4CE6-A88A-7750E8DB75D7}">
  <dimension ref="A1:R1373"/>
  <sheetViews>
    <sheetView tabSelected="1" workbookViewId="0">
      <pane ySplit="1" topLeftCell="A2" activePane="bottomLeft" state="frozen"/>
      <selection pane="bottomLeft" activeCell="A82" sqref="A82"/>
    </sheetView>
  </sheetViews>
  <sheetFormatPr defaultColWidth="8.85546875" defaultRowHeight="15" x14ac:dyDescent="0.25"/>
  <cols>
    <col min="4" max="4" width="10" customWidth="1"/>
    <col min="5" max="5" width="11.42578125" bestFit="1" customWidth="1"/>
    <col min="6" max="6" width="11.42578125" customWidth="1"/>
    <col min="7" max="7" width="10.42578125" bestFit="1" customWidth="1"/>
    <col min="17" max="17" width="10.5703125" bestFit="1" customWidth="1"/>
  </cols>
  <sheetData>
    <row r="1" spans="1:18" x14ac:dyDescent="0.25">
      <c r="A1" t="s">
        <v>52</v>
      </c>
      <c r="B1" t="s">
        <v>53</v>
      </c>
      <c r="C1" t="s">
        <v>54</v>
      </c>
      <c r="D1" t="s">
        <v>55</v>
      </c>
      <c r="E1" t="s">
        <v>2</v>
      </c>
      <c r="F1" t="s">
        <v>57</v>
      </c>
      <c r="G1" t="s">
        <v>20</v>
      </c>
      <c r="H1" t="s">
        <v>21</v>
      </c>
      <c r="I1" t="s">
        <v>22</v>
      </c>
      <c r="J1" t="s">
        <v>3</v>
      </c>
      <c r="K1" t="s">
        <v>0</v>
      </c>
      <c r="L1" t="s">
        <v>1</v>
      </c>
      <c r="M1" t="s">
        <v>4</v>
      </c>
      <c r="N1" t="s">
        <v>5</v>
      </c>
      <c r="O1" t="s">
        <v>6</v>
      </c>
      <c r="P1" t="s">
        <v>34</v>
      </c>
      <c r="Q1" t="s">
        <v>7</v>
      </c>
      <c r="R1" t="s">
        <v>56</v>
      </c>
    </row>
    <row r="2" spans="1:18" x14ac:dyDescent="0.25">
      <c r="A2">
        <v>1</v>
      </c>
      <c r="B2">
        <v>1</v>
      </c>
      <c r="E2" s="1">
        <v>44931</v>
      </c>
      <c r="F2" s="11">
        <f>E2</f>
        <v>44931</v>
      </c>
      <c r="G2">
        <f t="shared" ref="G2:G65" si="0">YEAR(E2)</f>
        <v>2023</v>
      </c>
      <c r="H2">
        <f t="shared" ref="H2:H65" si="1">MONTH(E2)</f>
        <v>1</v>
      </c>
      <c r="I2">
        <f t="shared" ref="I2:I33" si="2">DAY(E2)</f>
        <v>5</v>
      </c>
      <c r="J2" t="s">
        <v>10</v>
      </c>
      <c r="K2" t="s">
        <v>8</v>
      </c>
      <c r="L2" t="s">
        <v>17</v>
      </c>
      <c r="M2" t="s">
        <v>11</v>
      </c>
      <c r="N2" t="s">
        <v>27</v>
      </c>
      <c r="O2" t="s">
        <v>23</v>
      </c>
      <c r="P2">
        <v>10</v>
      </c>
      <c r="Q2" t="s">
        <v>12</v>
      </c>
      <c r="R2" t="str">
        <f>CONCATENATE(A2,"_",B2,"_", C2,"_",D2,"_",TEXT(E2, "mm/dd/yyyy"),"_",G2,"_",J2,"_",K2,"_",L2,"_",M2,"_",N2,"_",O2,"_",P2,"_",Q2)</f>
        <v>1_1___01/05/2023_2023_MonMon_OWC_UP_PW_Sip_A_10_Nutrients</v>
      </c>
    </row>
    <row r="3" spans="1:18" x14ac:dyDescent="0.25">
      <c r="A3">
        <v>1</v>
      </c>
      <c r="B3">
        <v>7</v>
      </c>
      <c r="E3" s="1">
        <v>44931</v>
      </c>
      <c r="F3" s="11">
        <f t="shared" ref="F3:F66" si="3">E3</f>
        <v>44931</v>
      </c>
      <c r="G3">
        <f t="shared" si="0"/>
        <v>2023</v>
      </c>
      <c r="H3">
        <f t="shared" si="1"/>
        <v>1</v>
      </c>
      <c r="I3">
        <f t="shared" si="2"/>
        <v>5</v>
      </c>
      <c r="J3" t="s">
        <v>10</v>
      </c>
      <c r="K3" t="s">
        <v>8</v>
      </c>
      <c r="L3" t="s">
        <v>17</v>
      </c>
      <c r="M3" t="s">
        <v>11</v>
      </c>
      <c r="N3" t="s">
        <v>27</v>
      </c>
      <c r="O3" t="s">
        <v>25</v>
      </c>
      <c r="P3">
        <v>10</v>
      </c>
      <c r="Q3" t="s">
        <v>12</v>
      </c>
      <c r="R3" t="str">
        <f t="shared" ref="R3:R66" si="4">CONCATENATE(A3,"_",B3,"_", C3,"_",D3,"_",TEXT(E3, "mm/dd/yyyy"),"_",G3,"_",J3,"_",K3,"_",L3,"_",M3,"_",N3,"_",O3,"_",P3,"_",Q3)</f>
        <v>1_7___01/05/2023_2023_MonMon_OWC_UP_PW_Sip_C_10_Nutrients</v>
      </c>
    </row>
    <row r="4" spans="1:18" x14ac:dyDescent="0.25">
      <c r="A4">
        <v>1</v>
      </c>
      <c r="B4">
        <v>8</v>
      </c>
      <c r="E4" s="1">
        <v>44931</v>
      </c>
      <c r="F4" s="11">
        <f t="shared" si="3"/>
        <v>44931</v>
      </c>
      <c r="G4">
        <f t="shared" si="0"/>
        <v>2023</v>
      </c>
      <c r="H4">
        <f t="shared" si="1"/>
        <v>1</v>
      </c>
      <c r="I4">
        <f t="shared" si="2"/>
        <v>5</v>
      </c>
      <c r="J4" t="s">
        <v>10</v>
      </c>
      <c r="K4" t="s">
        <v>8</v>
      </c>
      <c r="L4" t="s">
        <v>17</v>
      </c>
      <c r="M4" t="s">
        <v>11</v>
      </c>
      <c r="N4" t="s">
        <v>27</v>
      </c>
      <c r="O4" t="s">
        <v>25</v>
      </c>
      <c r="P4">
        <v>20</v>
      </c>
      <c r="Q4" t="s">
        <v>12</v>
      </c>
      <c r="R4" t="str">
        <f t="shared" si="4"/>
        <v>1_8___01/05/2023_2023_MonMon_OWC_UP_PW_Sip_C_20_Nutrients</v>
      </c>
    </row>
    <row r="5" spans="1:18" x14ac:dyDescent="0.25">
      <c r="A5">
        <v>1</v>
      </c>
      <c r="B5">
        <v>11</v>
      </c>
      <c r="E5" s="1">
        <v>44931</v>
      </c>
      <c r="F5" s="11">
        <f t="shared" si="3"/>
        <v>44931</v>
      </c>
      <c r="G5">
        <f t="shared" si="0"/>
        <v>2023</v>
      </c>
      <c r="H5">
        <f t="shared" si="1"/>
        <v>1</v>
      </c>
      <c r="I5">
        <f t="shared" si="2"/>
        <v>5</v>
      </c>
      <c r="J5" t="s">
        <v>10</v>
      </c>
      <c r="K5" t="s">
        <v>8</v>
      </c>
      <c r="L5" t="s">
        <v>14</v>
      </c>
      <c r="M5" t="s">
        <v>11</v>
      </c>
      <c r="N5" t="s">
        <v>27</v>
      </c>
      <c r="O5" t="s">
        <v>23</v>
      </c>
      <c r="P5">
        <v>10</v>
      </c>
      <c r="Q5" t="s">
        <v>12</v>
      </c>
      <c r="R5" t="str">
        <f t="shared" si="4"/>
        <v>1_11___01/05/2023_2023_MonMon_OWC_TR_PW_Sip_A_10_Nutrients</v>
      </c>
    </row>
    <row r="6" spans="1:18" x14ac:dyDescent="0.25">
      <c r="A6">
        <v>1</v>
      </c>
      <c r="B6">
        <v>12</v>
      </c>
      <c r="E6" s="1">
        <v>44931</v>
      </c>
      <c r="F6" s="11">
        <f t="shared" si="3"/>
        <v>44931</v>
      </c>
      <c r="G6">
        <f t="shared" si="0"/>
        <v>2023</v>
      </c>
      <c r="H6">
        <f t="shared" si="1"/>
        <v>1</v>
      </c>
      <c r="I6">
        <f t="shared" si="2"/>
        <v>5</v>
      </c>
      <c r="J6" t="s">
        <v>10</v>
      </c>
      <c r="K6" t="s">
        <v>8</v>
      </c>
      <c r="L6" t="s">
        <v>14</v>
      </c>
      <c r="M6" t="s">
        <v>11</v>
      </c>
      <c r="N6" t="s">
        <v>27</v>
      </c>
      <c r="O6" t="s">
        <v>23</v>
      </c>
      <c r="P6">
        <v>20</v>
      </c>
      <c r="Q6" t="s">
        <v>12</v>
      </c>
      <c r="R6" t="str">
        <f t="shared" si="4"/>
        <v>1_12___01/05/2023_2023_MonMon_OWC_TR_PW_Sip_A_20_Nutrients</v>
      </c>
    </row>
    <row r="7" spans="1:18" x14ac:dyDescent="0.25">
      <c r="A7">
        <v>1</v>
      </c>
      <c r="B7">
        <v>13</v>
      </c>
      <c r="E7" s="1">
        <v>44931</v>
      </c>
      <c r="F7" s="11">
        <f t="shared" si="3"/>
        <v>44931</v>
      </c>
      <c r="G7">
        <f t="shared" si="0"/>
        <v>2023</v>
      </c>
      <c r="H7">
        <f t="shared" si="1"/>
        <v>1</v>
      </c>
      <c r="I7">
        <f t="shared" si="2"/>
        <v>5</v>
      </c>
      <c r="J7" t="s">
        <v>10</v>
      </c>
      <c r="K7" t="s">
        <v>8</v>
      </c>
      <c r="L7" t="s">
        <v>14</v>
      </c>
      <c r="M7" t="s">
        <v>11</v>
      </c>
      <c r="N7" t="s">
        <v>27</v>
      </c>
      <c r="O7" t="s">
        <v>23</v>
      </c>
      <c r="P7">
        <v>45</v>
      </c>
      <c r="Q7" t="s">
        <v>12</v>
      </c>
      <c r="R7" t="str">
        <f t="shared" si="4"/>
        <v>1_13___01/05/2023_2023_MonMon_OWC_TR_PW_Sip_A_45_Nutrients</v>
      </c>
    </row>
    <row r="8" spans="1:18" x14ac:dyDescent="0.25">
      <c r="A8">
        <v>1</v>
      </c>
      <c r="B8">
        <v>15</v>
      </c>
      <c r="E8" s="1">
        <v>44931</v>
      </c>
      <c r="F8" s="11">
        <f t="shared" si="3"/>
        <v>44931</v>
      </c>
      <c r="G8">
        <f t="shared" si="0"/>
        <v>2023</v>
      </c>
      <c r="H8">
        <f t="shared" si="1"/>
        <v>1</v>
      </c>
      <c r="I8">
        <f t="shared" si="2"/>
        <v>5</v>
      </c>
      <c r="J8" t="s">
        <v>10</v>
      </c>
      <c r="K8" t="s">
        <v>8</v>
      </c>
      <c r="L8" t="s">
        <v>14</v>
      </c>
      <c r="M8" t="s">
        <v>11</v>
      </c>
      <c r="N8" t="s">
        <v>27</v>
      </c>
      <c r="O8" t="s">
        <v>24</v>
      </c>
      <c r="P8">
        <v>20</v>
      </c>
      <c r="Q8" t="s">
        <v>12</v>
      </c>
      <c r="R8" t="str">
        <f t="shared" si="4"/>
        <v>1_15___01/05/2023_2023_MonMon_OWC_TR_PW_Sip_B_20_Nutrients</v>
      </c>
    </row>
    <row r="9" spans="1:18" x14ac:dyDescent="0.25">
      <c r="A9">
        <v>1</v>
      </c>
      <c r="B9">
        <v>16</v>
      </c>
      <c r="E9" s="1">
        <v>44931</v>
      </c>
      <c r="F9" s="11">
        <f t="shared" si="3"/>
        <v>44931</v>
      </c>
      <c r="G9">
        <f t="shared" si="0"/>
        <v>2023</v>
      </c>
      <c r="H9">
        <f t="shared" si="1"/>
        <v>1</v>
      </c>
      <c r="I9">
        <f t="shared" si="2"/>
        <v>5</v>
      </c>
      <c r="J9" t="s">
        <v>10</v>
      </c>
      <c r="K9" t="s">
        <v>8</v>
      </c>
      <c r="L9" t="s">
        <v>14</v>
      </c>
      <c r="M9" t="s">
        <v>11</v>
      </c>
      <c r="N9" t="s">
        <v>27</v>
      </c>
      <c r="O9" t="s">
        <v>24</v>
      </c>
      <c r="P9">
        <v>45</v>
      </c>
      <c r="Q9" t="s">
        <v>12</v>
      </c>
      <c r="R9" t="str">
        <f t="shared" si="4"/>
        <v>1_16___01/05/2023_2023_MonMon_OWC_TR_PW_Sip_B_45_Nutrients</v>
      </c>
    </row>
    <row r="10" spans="1:18" x14ac:dyDescent="0.25">
      <c r="A10">
        <v>1</v>
      </c>
      <c r="B10">
        <v>17</v>
      </c>
      <c r="E10" s="1">
        <v>44931</v>
      </c>
      <c r="F10" s="11">
        <f t="shared" si="3"/>
        <v>44931</v>
      </c>
      <c r="G10">
        <f t="shared" si="0"/>
        <v>2023</v>
      </c>
      <c r="H10">
        <f t="shared" si="1"/>
        <v>1</v>
      </c>
      <c r="I10">
        <f t="shared" si="2"/>
        <v>5</v>
      </c>
      <c r="J10" t="s">
        <v>10</v>
      </c>
      <c r="K10" t="s">
        <v>8</v>
      </c>
      <c r="L10" t="s">
        <v>14</v>
      </c>
      <c r="M10" t="s">
        <v>11</v>
      </c>
      <c r="N10" t="s">
        <v>27</v>
      </c>
      <c r="O10" t="s">
        <v>25</v>
      </c>
      <c r="P10">
        <v>10</v>
      </c>
      <c r="Q10" t="s">
        <v>12</v>
      </c>
      <c r="R10" t="str">
        <f t="shared" si="4"/>
        <v>1_17___01/05/2023_2023_MonMon_OWC_TR_PW_Sip_C_10_Nutrients</v>
      </c>
    </row>
    <row r="11" spans="1:18" x14ac:dyDescent="0.25">
      <c r="A11">
        <v>1</v>
      </c>
      <c r="B11">
        <v>18</v>
      </c>
      <c r="E11" s="1">
        <v>44931</v>
      </c>
      <c r="F11" s="11">
        <f t="shared" si="3"/>
        <v>44931</v>
      </c>
      <c r="G11">
        <f t="shared" si="0"/>
        <v>2023</v>
      </c>
      <c r="H11">
        <f t="shared" si="1"/>
        <v>1</v>
      </c>
      <c r="I11">
        <f t="shared" si="2"/>
        <v>5</v>
      </c>
      <c r="J11" t="s">
        <v>10</v>
      </c>
      <c r="K11" t="s">
        <v>8</v>
      </c>
      <c r="L11" t="s">
        <v>14</v>
      </c>
      <c r="M11" t="s">
        <v>11</v>
      </c>
      <c r="N11" t="s">
        <v>27</v>
      </c>
      <c r="O11" t="s">
        <v>25</v>
      </c>
      <c r="P11">
        <v>20</v>
      </c>
      <c r="Q11" t="s">
        <v>12</v>
      </c>
      <c r="R11" t="str">
        <f t="shared" si="4"/>
        <v>1_18___01/05/2023_2023_MonMon_OWC_TR_PW_Sip_C_20_Nutrients</v>
      </c>
    </row>
    <row r="12" spans="1:18" x14ac:dyDescent="0.25">
      <c r="A12">
        <v>1</v>
      </c>
      <c r="B12">
        <v>19</v>
      </c>
      <c r="E12" s="1">
        <v>44931</v>
      </c>
      <c r="F12" s="11">
        <f t="shared" si="3"/>
        <v>44931</v>
      </c>
      <c r="G12">
        <f t="shared" si="0"/>
        <v>2023</v>
      </c>
      <c r="H12">
        <f t="shared" si="1"/>
        <v>1</v>
      </c>
      <c r="I12">
        <f t="shared" si="2"/>
        <v>5</v>
      </c>
      <c r="J12" t="s">
        <v>10</v>
      </c>
      <c r="K12" t="s">
        <v>8</v>
      </c>
      <c r="L12" t="s">
        <v>14</v>
      </c>
      <c r="M12" t="s">
        <v>11</v>
      </c>
      <c r="N12" t="s">
        <v>27</v>
      </c>
      <c r="O12" t="s">
        <v>25</v>
      </c>
      <c r="P12">
        <v>45</v>
      </c>
      <c r="Q12" t="s">
        <v>12</v>
      </c>
      <c r="R12" t="str">
        <f t="shared" si="4"/>
        <v>1_19___01/05/2023_2023_MonMon_OWC_TR_PW_Sip_C_45_Nutrients</v>
      </c>
    </row>
    <row r="13" spans="1:18" x14ac:dyDescent="0.25">
      <c r="A13">
        <v>1</v>
      </c>
      <c r="B13">
        <v>21</v>
      </c>
      <c r="E13" s="1">
        <v>44931</v>
      </c>
      <c r="F13" s="11">
        <f t="shared" si="3"/>
        <v>44931</v>
      </c>
      <c r="G13">
        <f t="shared" si="0"/>
        <v>2023</v>
      </c>
      <c r="H13">
        <f t="shared" si="1"/>
        <v>1</v>
      </c>
      <c r="I13">
        <f t="shared" si="2"/>
        <v>5</v>
      </c>
      <c r="J13" t="s">
        <v>10</v>
      </c>
      <c r="K13" t="s">
        <v>8</v>
      </c>
      <c r="L13" t="s">
        <v>9</v>
      </c>
      <c r="M13" t="s">
        <v>11</v>
      </c>
      <c r="N13" t="s">
        <v>27</v>
      </c>
      <c r="O13" t="s">
        <v>23</v>
      </c>
      <c r="P13">
        <v>10</v>
      </c>
      <c r="Q13" t="s">
        <v>12</v>
      </c>
      <c r="R13" t="str">
        <f t="shared" si="4"/>
        <v>1_21___01/05/2023_2023_MonMon_OWC_W_PW_Sip_A_10_Nutrients</v>
      </c>
    </row>
    <row r="14" spans="1:18" x14ac:dyDescent="0.25">
      <c r="A14">
        <v>1</v>
      </c>
      <c r="B14">
        <v>22</v>
      </c>
      <c r="E14" s="1">
        <v>44931</v>
      </c>
      <c r="F14" s="11">
        <f t="shared" si="3"/>
        <v>44931</v>
      </c>
      <c r="G14">
        <f t="shared" si="0"/>
        <v>2023</v>
      </c>
      <c r="H14">
        <f t="shared" si="1"/>
        <v>1</v>
      </c>
      <c r="I14">
        <f t="shared" si="2"/>
        <v>5</v>
      </c>
      <c r="J14" t="s">
        <v>10</v>
      </c>
      <c r="K14" t="s">
        <v>8</v>
      </c>
      <c r="L14" t="s">
        <v>9</v>
      </c>
      <c r="M14" t="s">
        <v>11</v>
      </c>
      <c r="N14" t="s">
        <v>27</v>
      </c>
      <c r="O14" t="s">
        <v>23</v>
      </c>
      <c r="P14">
        <v>20</v>
      </c>
      <c r="Q14" t="s">
        <v>12</v>
      </c>
      <c r="R14" t="str">
        <f t="shared" si="4"/>
        <v>1_22___01/05/2023_2023_MonMon_OWC_W_PW_Sip_A_20_Nutrients</v>
      </c>
    </row>
    <row r="15" spans="1:18" x14ac:dyDescent="0.25">
      <c r="A15">
        <v>1</v>
      </c>
      <c r="B15">
        <v>23</v>
      </c>
      <c r="E15" s="1">
        <v>44931</v>
      </c>
      <c r="F15" s="11">
        <f t="shared" si="3"/>
        <v>44931</v>
      </c>
      <c r="G15">
        <f t="shared" si="0"/>
        <v>2023</v>
      </c>
      <c r="H15">
        <f t="shared" si="1"/>
        <v>1</v>
      </c>
      <c r="I15">
        <f t="shared" si="2"/>
        <v>5</v>
      </c>
      <c r="J15" t="s">
        <v>10</v>
      </c>
      <c r="K15" t="s">
        <v>8</v>
      </c>
      <c r="L15" t="s">
        <v>9</v>
      </c>
      <c r="M15" t="s">
        <v>11</v>
      </c>
      <c r="N15" t="s">
        <v>27</v>
      </c>
      <c r="O15" t="s">
        <v>23</v>
      </c>
      <c r="P15">
        <v>45</v>
      </c>
      <c r="Q15" t="s">
        <v>12</v>
      </c>
      <c r="R15" t="str">
        <f t="shared" si="4"/>
        <v>1_23___01/05/2023_2023_MonMon_OWC_W_PW_Sip_A_45_Nutrients</v>
      </c>
    </row>
    <row r="16" spans="1:18" x14ac:dyDescent="0.25">
      <c r="A16">
        <v>1</v>
      </c>
      <c r="B16">
        <v>24</v>
      </c>
      <c r="E16" s="1">
        <v>44931</v>
      </c>
      <c r="F16" s="11">
        <f t="shared" si="3"/>
        <v>44931</v>
      </c>
      <c r="G16">
        <f t="shared" si="0"/>
        <v>2023</v>
      </c>
      <c r="H16">
        <f t="shared" si="1"/>
        <v>1</v>
      </c>
      <c r="I16">
        <f t="shared" si="2"/>
        <v>5</v>
      </c>
      <c r="J16" t="s">
        <v>10</v>
      </c>
      <c r="K16" t="s">
        <v>8</v>
      </c>
      <c r="L16" t="s">
        <v>9</v>
      </c>
      <c r="M16" t="s">
        <v>11</v>
      </c>
      <c r="N16" t="s">
        <v>27</v>
      </c>
      <c r="O16" t="s">
        <v>24</v>
      </c>
      <c r="P16">
        <v>10</v>
      </c>
      <c r="Q16" t="s">
        <v>12</v>
      </c>
      <c r="R16" t="str">
        <f t="shared" si="4"/>
        <v>1_24___01/05/2023_2023_MonMon_OWC_W_PW_Sip_B_10_Nutrients</v>
      </c>
    </row>
    <row r="17" spans="1:18" x14ac:dyDescent="0.25">
      <c r="A17">
        <v>1</v>
      </c>
      <c r="B17">
        <v>25</v>
      </c>
      <c r="E17" s="1">
        <v>44931</v>
      </c>
      <c r="F17" s="11">
        <f t="shared" si="3"/>
        <v>44931</v>
      </c>
      <c r="G17">
        <f t="shared" si="0"/>
        <v>2023</v>
      </c>
      <c r="H17">
        <f t="shared" si="1"/>
        <v>1</v>
      </c>
      <c r="I17">
        <f t="shared" si="2"/>
        <v>5</v>
      </c>
      <c r="J17" t="s">
        <v>10</v>
      </c>
      <c r="K17" t="s">
        <v>8</v>
      </c>
      <c r="L17" t="s">
        <v>9</v>
      </c>
      <c r="M17" t="s">
        <v>11</v>
      </c>
      <c r="N17" t="s">
        <v>27</v>
      </c>
      <c r="O17" t="s">
        <v>24</v>
      </c>
      <c r="P17">
        <v>20</v>
      </c>
      <c r="Q17" t="s">
        <v>12</v>
      </c>
      <c r="R17" t="str">
        <f t="shared" si="4"/>
        <v>1_25___01/05/2023_2023_MonMon_OWC_W_PW_Sip_B_20_Nutrients</v>
      </c>
    </row>
    <row r="18" spans="1:18" x14ac:dyDescent="0.25">
      <c r="A18">
        <v>1</v>
      </c>
      <c r="B18">
        <v>26</v>
      </c>
      <c r="E18" s="1">
        <v>44931</v>
      </c>
      <c r="F18" s="11">
        <f t="shared" si="3"/>
        <v>44931</v>
      </c>
      <c r="G18">
        <f t="shared" si="0"/>
        <v>2023</v>
      </c>
      <c r="H18">
        <f t="shared" si="1"/>
        <v>1</v>
      </c>
      <c r="I18">
        <f t="shared" si="2"/>
        <v>5</v>
      </c>
      <c r="J18" t="s">
        <v>10</v>
      </c>
      <c r="K18" t="s">
        <v>8</v>
      </c>
      <c r="L18" t="s">
        <v>9</v>
      </c>
      <c r="M18" t="s">
        <v>11</v>
      </c>
      <c r="N18" t="s">
        <v>27</v>
      </c>
      <c r="O18" t="s">
        <v>24</v>
      </c>
      <c r="P18">
        <v>45</v>
      </c>
      <c r="Q18" t="s">
        <v>12</v>
      </c>
      <c r="R18" t="str">
        <f t="shared" si="4"/>
        <v>1_26___01/05/2023_2023_MonMon_OWC_W_PW_Sip_B_45_Nutrients</v>
      </c>
    </row>
    <row r="19" spans="1:18" x14ac:dyDescent="0.25">
      <c r="A19">
        <v>1</v>
      </c>
      <c r="B19">
        <v>27</v>
      </c>
      <c r="E19" s="1">
        <v>44931</v>
      </c>
      <c r="F19" s="11">
        <f t="shared" si="3"/>
        <v>44931</v>
      </c>
      <c r="G19">
        <f t="shared" si="0"/>
        <v>2023</v>
      </c>
      <c r="H19">
        <f t="shared" si="1"/>
        <v>1</v>
      </c>
      <c r="I19">
        <f t="shared" si="2"/>
        <v>5</v>
      </c>
      <c r="J19" t="s">
        <v>10</v>
      </c>
      <c r="K19" t="s">
        <v>8</v>
      </c>
      <c r="L19" t="s">
        <v>9</v>
      </c>
      <c r="M19" t="s">
        <v>11</v>
      </c>
      <c r="N19" t="s">
        <v>27</v>
      </c>
      <c r="O19" t="s">
        <v>25</v>
      </c>
      <c r="P19">
        <v>10</v>
      </c>
      <c r="Q19" t="s">
        <v>12</v>
      </c>
      <c r="R19" t="str">
        <f t="shared" si="4"/>
        <v>1_27___01/05/2023_2023_MonMon_OWC_W_PW_Sip_C_10_Nutrients</v>
      </c>
    </row>
    <row r="20" spans="1:18" x14ac:dyDescent="0.25">
      <c r="A20">
        <v>1</v>
      </c>
      <c r="B20">
        <v>28</v>
      </c>
      <c r="E20" s="1">
        <v>44931</v>
      </c>
      <c r="F20" s="11">
        <f t="shared" si="3"/>
        <v>44931</v>
      </c>
      <c r="G20">
        <f t="shared" si="0"/>
        <v>2023</v>
      </c>
      <c r="H20">
        <f t="shared" si="1"/>
        <v>1</v>
      </c>
      <c r="I20">
        <f t="shared" si="2"/>
        <v>5</v>
      </c>
      <c r="J20" t="s">
        <v>10</v>
      </c>
      <c r="K20" t="s">
        <v>8</v>
      </c>
      <c r="L20" t="s">
        <v>9</v>
      </c>
      <c r="M20" t="s">
        <v>11</v>
      </c>
      <c r="N20" t="s">
        <v>27</v>
      </c>
      <c r="O20" t="s">
        <v>25</v>
      </c>
      <c r="P20">
        <v>20</v>
      </c>
      <c r="Q20" t="s">
        <v>12</v>
      </c>
      <c r="R20" t="str">
        <f t="shared" si="4"/>
        <v>1_28___01/05/2023_2023_MonMon_OWC_W_PW_Sip_C_20_Nutrients</v>
      </c>
    </row>
    <row r="21" spans="1:18" x14ac:dyDescent="0.25">
      <c r="A21">
        <v>1</v>
      </c>
      <c r="B21">
        <v>29</v>
      </c>
      <c r="E21" s="1">
        <v>44931</v>
      </c>
      <c r="F21" s="11">
        <f t="shared" si="3"/>
        <v>44931</v>
      </c>
      <c r="G21">
        <f t="shared" si="0"/>
        <v>2023</v>
      </c>
      <c r="H21">
        <f t="shared" si="1"/>
        <v>1</v>
      </c>
      <c r="I21">
        <f t="shared" si="2"/>
        <v>5</v>
      </c>
      <c r="J21" t="s">
        <v>10</v>
      </c>
      <c r="K21" t="s">
        <v>8</v>
      </c>
      <c r="L21" t="s">
        <v>9</v>
      </c>
      <c r="M21" t="s">
        <v>11</v>
      </c>
      <c r="N21" t="s">
        <v>27</v>
      </c>
      <c r="O21" t="s">
        <v>25</v>
      </c>
      <c r="P21">
        <v>45</v>
      </c>
      <c r="Q21" t="s">
        <v>12</v>
      </c>
      <c r="R21" t="str">
        <f t="shared" si="4"/>
        <v>1_29___01/05/2023_2023_MonMon_OWC_W_PW_Sip_C_45_Nutrients</v>
      </c>
    </row>
    <row r="22" spans="1:18" x14ac:dyDescent="0.25">
      <c r="A22">
        <v>1</v>
      </c>
      <c r="B22">
        <v>31</v>
      </c>
      <c r="E22" s="1">
        <v>44931</v>
      </c>
      <c r="F22" s="11">
        <f t="shared" si="3"/>
        <v>44931</v>
      </c>
      <c r="G22">
        <f t="shared" si="0"/>
        <v>2023</v>
      </c>
      <c r="H22">
        <f t="shared" si="1"/>
        <v>1</v>
      </c>
      <c r="I22">
        <f t="shared" si="2"/>
        <v>5</v>
      </c>
      <c r="J22" t="s">
        <v>10</v>
      </c>
      <c r="K22" t="s">
        <v>8</v>
      </c>
      <c r="L22" t="s">
        <v>17</v>
      </c>
      <c r="M22" t="s">
        <v>26</v>
      </c>
      <c r="N22" t="s">
        <v>18</v>
      </c>
      <c r="O22">
        <v>1</v>
      </c>
      <c r="Q22" t="s">
        <v>12</v>
      </c>
      <c r="R22" t="str">
        <f t="shared" si="4"/>
        <v>1_31___01/05/2023_2023_MonMon_OWC_UP_RZ_Rz_1__Nutrients</v>
      </c>
    </row>
    <row r="23" spans="1:18" x14ac:dyDescent="0.25">
      <c r="A23">
        <v>1</v>
      </c>
      <c r="B23">
        <v>32</v>
      </c>
      <c r="E23" s="1">
        <v>44931</v>
      </c>
      <c r="F23" s="11">
        <f t="shared" si="3"/>
        <v>44931</v>
      </c>
      <c r="G23">
        <f t="shared" si="0"/>
        <v>2023</v>
      </c>
      <c r="H23">
        <f t="shared" si="1"/>
        <v>1</v>
      </c>
      <c r="I23">
        <f t="shared" si="2"/>
        <v>5</v>
      </c>
      <c r="J23" t="s">
        <v>10</v>
      </c>
      <c r="K23" t="s">
        <v>8</v>
      </c>
      <c r="L23" t="s">
        <v>17</v>
      </c>
      <c r="M23" t="s">
        <v>26</v>
      </c>
      <c r="N23" t="s">
        <v>18</v>
      </c>
      <c r="O23">
        <v>2</v>
      </c>
      <c r="Q23" t="s">
        <v>12</v>
      </c>
      <c r="R23" t="str">
        <f t="shared" si="4"/>
        <v>1_32___01/05/2023_2023_MonMon_OWC_UP_RZ_Rz_2__Nutrients</v>
      </c>
    </row>
    <row r="24" spans="1:18" x14ac:dyDescent="0.25">
      <c r="A24">
        <v>1</v>
      </c>
      <c r="B24">
        <v>33</v>
      </c>
      <c r="E24" s="1">
        <v>44931</v>
      </c>
      <c r="F24" s="11">
        <f t="shared" si="3"/>
        <v>44931</v>
      </c>
      <c r="G24">
        <f t="shared" si="0"/>
        <v>2023</v>
      </c>
      <c r="H24">
        <f t="shared" si="1"/>
        <v>1</v>
      </c>
      <c r="I24">
        <f t="shared" si="2"/>
        <v>5</v>
      </c>
      <c r="J24" t="s">
        <v>10</v>
      </c>
      <c r="K24" t="s">
        <v>8</v>
      </c>
      <c r="L24" t="s">
        <v>17</v>
      </c>
      <c r="M24" t="s">
        <v>26</v>
      </c>
      <c r="N24" t="s">
        <v>18</v>
      </c>
      <c r="O24">
        <v>3</v>
      </c>
      <c r="Q24" t="s">
        <v>12</v>
      </c>
      <c r="R24" t="str">
        <f t="shared" si="4"/>
        <v>1_33___01/05/2023_2023_MonMon_OWC_UP_RZ_Rz_3__Nutrients</v>
      </c>
    </row>
    <row r="25" spans="1:18" x14ac:dyDescent="0.25">
      <c r="A25">
        <v>1</v>
      </c>
      <c r="B25">
        <v>34</v>
      </c>
      <c r="E25" s="1">
        <v>44931</v>
      </c>
      <c r="F25" s="11">
        <f t="shared" si="3"/>
        <v>44931</v>
      </c>
      <c r="G25">
        <f t="shared" si="0"/>
        <v>2023</v>
      </c>
      <c r="H25">
        <f t="shared" si="1"/>
        <v>1</v>
      </c>
      <c r="I25">
        <f t="shared" si="2"/>
        <v>5</v>
      </c>
      <c r="J25" t="s">
        <v>10</v>
      </c>
      <c r="K25" t="s">
        <v>8</v>
      </c>
      <c r="L25" t="s">
        <v>17</v>
      </c>
      <c r="M25" t="s">
        <v>26</v>
      </c>
      <c r="N25" t="s">
        <v>18</v>
      </c>
      <c r="O25">
        <v>4</v>
      </c>
      <c r="Q25" t="s">
        <v>12</v>
      </c>
      <c r="R25" t="str">
        <f t="shared" si="4"/>
        <v>1_34___01/05/2023_2023_MonMon_OWC_UP_RZ_Rz_4__Nutrients</v>
      </c>
    </row>
    <row r="26" spans="1:18" x14ac:dyDescent="0.25">
      <c r="A26">
        <v>1</v>
      </c>
      <c r="B26">
        <v>35</v>
      </c>
      <c r="E26" s="1">
        <v>44931</v>
      </c>
      <c r="F26" s="11">
        <f t="shared" si="3"/>
        <v>44931</v>
      </c>
      <c r="G26">
        <f t="shared" si="0"/>
        <v>2023</v>
      </c>
      <c r="H26">
        <f t="shared" si="1"/>
        <v>1</v>
      </c>
      <c r="I26">
        <f t="shared" si="2"/>
        <v>5</v>
      </c>
      <c r="J26" t="s">
        <v>10</v>
      </c>
      <c r="K26" t="s">
        <v>8</v>
      </c>
      <c r="L26" t="s">
        <v>17</v>
      </c>
      <c r="M26" t="s">
        <v>26</v>
      </c>
      <c r="N26" t="s">
        <v>18</v>
      </c>
      <c r="O26">
        <v>5</v>
      </c>
      <c r="Q26" t="s">
        <v>12</v>
      </c>
      <c r="R26" t="str">
        <f t="shared" si="4"/>
        <v>1_35___01/05/2023_2023_MonMon_OWC_UP_RZ_Rz_5__Nutrients</v>
      </c>
    </row>
    <row r="27" spans="1:18" x14ac:dyDescent="0.25">
      <c r="A27">
        <v>1</v>
      </c>
      <c r="B27">
        <v>36</v>
      </c>
      <c r="E27" s="1">
        <v>44931</v>
      </c>
      <c r="F27" s="11">
        <f t="shared" si="3"/>
        <v>44931</v>
      </c>
      <c r="G27">
        <f t="shared" si="0"/>
        <v>2023</v>
      </c>
      <c r="H27">
        <f t="shared" si="1"/>
        <v>1</v>
      </c>
      <c r="I27">
        <f t="shared" si="2"/>
        <v>5</v>
      </c>
      <c r="J27" t="s">
        <v>10</v>
      </c>
      <c r="K27" t="s">
        <v>8</v>
      </c>
      <c r="L27" t="s">
        <v>17</v>
      </c>
      <c r="M27" t="s">
        <v>26</v>
      </c>
      <c r="N27" t="s">
        <v>18</v>
      </c>
      <c r="O27">
        <v>6</v>
      </c>
      <c r="Q27" t="s">
        <v>12</v>
      </c>
      <c r="R27" t="str">
        <f t="shared" si="4"/>
        <v>1_36___01/05/2023_2023_MonMon_OWC_UP_RZ_Rz_6__Nutrients</v>
      </c>
    </row>
    <row r="28" spans="1:18" x14ac:dyDescent="0.25">
      <c r="A28">
        <v>1</v>
      </c>
      <c r="B28">
        <v>37</v>
      </c>
      <c r="E28" s="1">
        <v>44931</v>
      </c>
      <c r="F28" s="11">
        <f t="shared" si="3"/>
        <v>44931</v>
      </c>
      <c r="G28">
        <f t="shared" si="0"/>
        <v>2023</v>
      </c>
      <c r="H28">
        <f t="shared" si="1"/>
        <v>1</v>
      </c>
      <c r="I28">
        <f t="shared" si="2"/>
        <v>5</v>
      </c>
      <c r="J28" t="s">
        <v>10</v>
      </c>
      <c r="K28" t="s">
        <v>8</v>
      </c>
      <c r="L28" t="s">
        <v>17</v>
      </c>
      <c r="M28" t="s">
        <v>26</v>
      </c>
      <c r="N28" t="s">
        <v>18</v>
      </c>
      <c r="O28">
        <v>7</v>
      </c>
      <c r="Q28" t="s">
        <v>12</v>
      </c>
      <c r="R28" t="str">
        <f t="shared" si="4"/>
        <v>1_37___01/05/2023_2023_MonMon_OWC_UP_RZ_Rz_7__Nutrients</v>
      </c>
    </row>
    <row r="29" spans="1:18" x14ac:dyDescent="0.25">
      <c r="A29">
        <v>1</v>
      </c>
      <c r="B29">
        <v>38</v>
      </c>
      <c r="E29" s="1">
        <v>44931</v>
      </c>
      <c r="F29" s="11">
        <f t="shared" si="3"/>
        <v>44931</v>
      </c>
      <c r="G29">
        <f t="shared" si="0"/>
        <v>2023</v>
      </c>
      <c r="H29">
        <f t="shared" si="1"/>
        <v>1</v>
      </c>
      <c r="I29">
        <f t="shared" si="2"/>
        <v>5</v>
      </c>
      <c r="J29" t="s">
        <v>10</v>
      </c>
      <c r="K29" t="s">
        <v>8</v>
      </c>
      <c r="L29" t="s">
        <v>17</v>
      </c>
      <c r="M29" t="s">
        <v>26</v>
      </c>
      <c r="N29" t="s">
        <v>18</v>
      </c>
      <c r="O29">
        <v>8</v>
      </c>
      <c r="Q29" t="s">
        <v>12</v>
      </c>
      <c r="R29" t="str">
        <f t="shared" si="4"/>
        <v>1_38___01/05/2023_2023_MonMon_OWC_UP_RZ_Rz_8__Nutrients</v>
      </c>
    </row>
    <row r="30" spans="1:18" x14ac:dyDescent="0.25">
      <c r="A30">
        <v>1</v>
      </c>
      <c r="B30">
        <v>41</v>
      </c>
      <c r="E30" s="1">
        <v>44931</v>
      </c>
      <c r="F30" s="11">
        <f t="shared" si="3"/>
        <v>44931</v>
      </c>
      <c r="G30">
        <f t="shared" si="0"/>
        <v>2023</v>
      </c>
      <c r="H30">
        <f t="shared" si="1"/>
        <v>1</v>
      </c>
      <c r="I30">
        <f t="shared" si="2"/>
        <v>5</v>
      </c>
      <c r="J30" t="s">
        <v>10</v>
      </c>
      <c r="K30" t="s">
        <v>8</v>
      </c>
      <c r="L30" t="s">
        <v>14</v>
      </c>
      <c r="M30" t="s">
        <v>26</v>
      </c>
      <c r="N30" t="s">
        <v>18</v>
      </c>
      <c r="O30">
        <v>1</v>
      </c>
      <c r="Q30" t="s">
        <v>12</v>
      </c>
      <c r="R30" t="str">
        <f t="shared" si="4"/>
        <v>1_41___01/05/2023_2023_MonMon_OWC_TR_RZ_Rz_1__Nutrients</v>
      </c>
    </row>
    <row r="31" spans="1:18" x14ac:dyDescent="0.25">
      <c r="A31">
        <v>1</v>
      </c>
      <c r="B31">
        <v>42</v>
      </c>
      <c r="E31" s="1">
        <v>44931</v>
      </c>
      <c r="F31" s="11">
        <f t="shared" si="3"/>
        <v>44931</v>
      </c>
      <c r="G31">
        <f t="shared" si="0"/>
        <v>2023</v>
      </c>
      <c r="H31">
        <f t="shared" si="1"/>
        <v>1</v>
      </c>
      <c r="I31">
        <f t="shared" si="2"/>
        <v>5</v>
      </c>
      <c r="J31" t="s">
        <v>10</v>
      </c>
      <c r="K31" t="s">
        <v>8</v>
      </c>
      <c r="L31" t="s">
        <v>14</v>
      </c>
      <c r="M31" t="s">
        <v>26</v>
      </c>
      <c r="N31" t="s">
        <v>18</v>
      </c>
      <c r="O31">
        <v>2</v>
      </c>
      <c r="Q31" t="s">
        <v>12</v>
      </c>
      <c r="R31" t="str">
        <f t="shared" si="4"/>
        <v>1_42___01/05/2023_2023_MonMon_OWC_TR_RZ_Rz_2__Nutrients</v>
      </c>
    </row>
    <row r="32" spans="1:18" x14ac:dyDescent="0.25">
      <c r="A32">
        <v>1</v>
      </c>
      <c r="B32">
        <v>43</v>
      </c>
      <c r="E32" s="1">
        <v>44931</v>
      </c>
      <c r="F32" s="11">
        <f t="shared" si="3"/>
        <v>44931</v>
      </c>
      <c r="G32">
        <f t="shared" si="0"/>
        <v>2023</v>
      </c>
      <c r="H32">
        <f t="shared" si="1"/>
        <v>1</v>
      </c>
      <c r="I32">
        <f t="shared" si="2"/>
        <v>5</v>
      </c>
      <c r="J32" t="s">
        <v>10</v>
      </c>
      <c r="K32" t="s">
        <v>8</v>
      </c>
      <c r="L32" t="s">
        <v>14</v>
      </c>
      <c r="M32" t="s">
        <v>26</v>
      </c>
      <c r="N32" t="s">
        <v>18</v>
      </c>
      <c r="O32">
        <v>3</v>
      </c>
      <c r="Q32" t="s">
        <v>12</v>
      </c>
      <c r="R32" t="str">
        <f t="shared" si="4"/>
        <v>1_43___01/05/2023_2023_MonMon_OWC_TR_RZ_Rz_3__Nutrients</v>
      </c>
    </row>
    <row r="33" spans="1:18" x14ac:dyDescent="0.25">
      <c r="A33">
        <v>1</v>
      </c>
      <c r="B33">
        <v>44</v>
      </c>
      <c r="E33" s="1">
        <v>44931</v>
      </c>
      <c r="F33" s="11">
        <f t="shared" si="3"/>
        <v>44931</v>
      </c>
      <c r="G33">
        <f t="shared" si="0"/>
        <v>2023</v>
      </c>
      <c r="H33">
        <f t="shared" si="1"/>
        <v>1</v>
      </c>
      <c r="I33">
        <f t="shared" si="2"/>
        <v>5</v>
      </c>
      <c r="J33" t="s">
        <v>10</v>
      </c>
      <c r="K33" t="s">
        <v>8</v>
      </c>
      <c r="L33" t="s">
        <v>14</v>
      </c>
      <c r="M33" t="s">
        <v>26</v>
      </c>
      <c r="N33" t="s">
        <v>18</v>
      </c>
      <c r="O33">
        <v>4</v>
      </c>
      <c r="Q33" t="s">
        <v>12</v>
      </c>
      <c r="R33" t="str">
        <f t="shared" si="4"/>
        <v>1_44___01/05/2023_2023_MonMon_OWC_TR_RZ_Rz_4__Nutrients</v>
      </c>
    </row>
    <row r="34" spans="1:18" x14ac:dyDescent="0.25">
      <c r="A34">
        <v>1</v>
      </c>
      <c r="B34">
        <v>45</v>
      </c>
      <c r="E34" s="1">
        <v>44931</v>
      </c>
      <c r="F34" s="11">
        <f t="shared" si="3"/>
        <v>44931</v>
      </c>
      <c r="G34">
        <f t="shared" si="0"/>
        <v>2023</v>
      </c>
      <c r="H34">
        <f t="shared" si="1"/>
        <v>1</v>
      </c>
      <c r="I34">
        <f t="shared" ref="I34:I65" si="5">DAY(E34)</f>
        <v>5</v>
      </c>
      <c r="J34" t="s">
        <v>10</v>
      </c>
      <c r="K34" t="s">
        <v>8</v>
      </c>
      <c r="L34" t="s">
        <v>14</v>
      </c>
      <c r="M34" t="s">
        <v>26</v>
      </c>
      <c r="N34" t="s">
        <v>18</v>
      </c>
      <c r="O34">
        <v>5</v>
      </c>
      <c r="Q34" t="s">
        <v>12</v>
      </c>
      <c r="R34" t="str">
        <f t="shared" si="4"/>
        <v>1_45___01/05/2023_2023_MonMon_OWC_TR_RZ_Rz_5__Nutrients</v>
      </c>
    </row>
    <row r="35" spans="1:18" x14ac:dyDescent="0.25">
      <c r="A35">
        <v>1</v>
      </c>
      <c r="B35">
        <v>46</v>
      </c>
      <c r="E35" s="1">
        <v>44931</v>
      </c>
      <c r="F35" s="11">
        <f t="shared" si="3"/>
        <v>44931</v>
      </c>
      <c r="G35">
        <f t="shared" si="0"/>
        <v>2023</v>
      </c>
      <c r="H35">
        <f t="shared" si="1"/>
        <v>1</v>
      </c>
      <c r="I35">
        <f t="shared" si="5"/>
        <v>5</v>
      </c>
      <c r="J35" t="s">
        <v>10</v>
      </c>
      <c r="K35" t="s">
        <v>8</v>
      </c>
      <c r="L35" t="s">
        <v>14</v>
      </c>
      <c r="M35" t="s">
        <v>26</v>
      </c>
      <c r="N35" t="s">
        <v>18</v>
      </c>
      <c r="O35">
        <v>6</v>
      </c>
      <c r="Q35" t="s">
        <v>12</v>
      </c>
      <c r="R35" t="str">
        <f t="shared" si="4"/>
        <v>1_46___01/05/2023_2023_MonMon_OWC_TR_RZ_Rz_6__Nutrients</v>
      </c>
    </row>
    <row r="36" spans="1:18" x14ac:dyDescent="0.25">
      <c r="A36">
        <v>1</v>
      </c>
      <c r="B36">
        <v>47</v>
      </c>
      <c r="E36" s="1">
        <v>44931</v>
      </c>
      <c r="F36" s="11">
        <f t="shared" si="3"/>
        <v>44931</v>
      </c>
      <c r="G36">
        <f t="shared" si="0"/>
        <v>2023</v>
      </c>
      <c r="H36">
        <f t="shared" si="1"/>
        <v>1</v>
      </c>
      <c r="I36">
        <f t="shared" si="5"/>
        <v>5</v>
      </c>
      <c r="J36" t="s">
        <v>10</v>
      </c>
      <c r="K36" t="s">
        <v>8</v>
      </c>
      <c r="L36" t="s">
        <v>14</v>
      </c>
      <c r="M36" t="s">
        <v>26</v>
      </c>
      <c r="N36" t="s">
        <v>18</v>
      </c>
      <c r="O36">
        <v>7</v>
      </c>
      <c r="Q36" t="s">
        <v>12</v>
      </c>
      <c r="R36" t="str">
        <f t="shared" si="4"/>
        <v>1_47___01/05/2023_2023_MonMon_OWC_TR_RZ_Rz_7__Nutrients</v>
      </c>
    </row>
    <row r="37" spans="1:18" x14ac:dyDescent="0.25">
      <c r="A37">
        <v>1</v>
      </c>
      <c r="B37">
        <v>48</v>
      </c>
      <c r="E37" s="1">
        <v>44931</v>
      </c>
      <c r="F37" s="11">
        <f t="shared" si="3"/>
        <v>44931</v>
      </c>
      <c r="G37">
        <f t="shared" si="0"/>
        <v>2023</v>
      </c>
      <c r="H37">
        <f t="shared" si="1"/>
        <v>1</v>
      </c>
      <c r="I37">
        <f t="shared" si="5"/>
        <v>5</v>
      </c>
      <c r="J37" t="s">
        <v>10</v>
      </c>
      <c r="K37" t="s">
        <v>8</v>
      </c>
      <c r="L37" t="s">
        <v>14</v>
      </c>
      <c r="M37" t="s">
        <v>26</v>
      </c>
      <c r="N37" t="s">
        <v>18</v>
      </c>
      <c r="O37">
        <v>8</v>
      </c>
      <c r="Q37" t="s">
        <v>12</v>
      </c>
      <c r="R37" t="str">
        <f t="shared" si="4"/>
        <v>1_48___01/05/2023_2023_MonMon_OWC_TR_RZ_Rz_8__Nutrients</v>
      </c>
    </row>
    <row r="38" spans="1:18" s="6" customFormat="1" x14ac:dyDescent="0.25">
      <c r="A38" s="6">
        <v>1</v>
      </c>
      <c r="B38" s="6">
        <v>51</v>
      </c>
      <c r="D38"/>
      <c r="E38" s="7">
        <v>44946</v>
      </c>
      <c r="F38" s="11">
        <f t="shared" si="3"/>
        <v>44946</v>
      </c>
      <c r="G38" s="6">
        <f t="shared" si="0"/>
        <v>2023</v>
      </c>
      <c r="H38" s="6">
        <f t="shared" si="1"/>
        <v>1</v>
      </c>
      <c r="I38" s="6">
        <f t="shared" si="5"/>
        <v>20</v>
      </c>
      <c r="J38" s="6" t="s">
        <v>10</v>
      </c>
      <c r="K38" s="6" t="s">
        <v>16</v>
      </c>
      <c r="M38" s="6" t="s">
        <v>28</v>
      </c>
      <c r="O38" s="6">
        <v>1</v>
      </c>
      <c r="Q38" s="6" t="s">
        <v>12</v>
      </c>
      <c r="R38" t="str">
        <f t="shared" si="4"/>
        <v>1_51___01/20/2023_2023_MonMon_CRC__OW__1__Nutrients</v>
      </c>
    </row>
    <row r="39" spans="1:18" s="6" customFormat="1" x14ac:dyDescent="0.25">
      <c r="A39" s="6">
        <v>1</v>
      </c>
      <c r="B39" s="6">
        <v>52</v>
      </c>
      <c r="D39"/>
      <c r="E39" s="7">
        <v>44946</v>
      </c>
      <c r="F39" s="11">
        <f t="shared" si="3"/>
        <v>44946</v>
      </c>
      <c r="G39" s="6">
        <f t="shared" si="0"/>
        <v>2023</v>
      </c>
      <c r="H39" s="6">
        <f t="shared" si="1"/>
        <v>1</v>
      </c>
      <c r="I39" s="6">
        <f t="shared" si="5"/>
        <v>20</v>
      </c>
      <c r="J39" s="6" t="s">
        <v>10</v>
      </c>
      <c r="K39" s="6" t="s">
        <v>16</v>
      </c>
      <c r="M39" s="6" t="s">
        <v>28</v>
      </c>
      <c r="O39" s="6">
        <v>2</v>
      </c>
      <c r="Q39" s="6" t="s">
        <v>12</v>
      </c>
      <c r="R39" t="str">
        <f t="shared" si="4"/>
        <v>1_52___01/20/2023_2023_MonMon_CRC__OW__2__Nutrients</v>
      </c>
    </row>
    <row r="40" spans="1:18" s="6" customFormat="1" x14ac:dyDescent="0.25">
      <c r="A40" s="6">
        <v>1</v>
      </c>
      <c r="B40" s="6">
        <v>53</v>
      </c>
      <c r="D40"/>
      <c r="E40" s="7">
        <v>44946</v>
      </c>
      <c r="F40" s="11">
        <f t="shared" si="3"/>
        <v>44946</v>
      </c>
      <c r="G40" s="6">
        <f t="shared" si="0"/>
        <v>2023</v>
      </c>
      <c r="H40" s="6">
        <f t="shared" si="1"/>
        <v>1</v>
      </c>
      <c r="I40" s="6">
        <f t="shared" si="5"/>
        <v>20</v>
      </c>
      <c r="J40" s="6" t="s">
        <v>10</v>
      </c>
      <c r="K40" s="6" t="s">
        <v>16</v>
      </c>
      <c r="M40" s="6" t="s">
        <v>28</v>
      </c>
      <c r="O40" s="6">
        <v>3</v>
      </c>
      <c r="Q40" s="6" t="s">
        <v>12</v>
      </c>
      <c r="R40" t="str">
        <f t="shared" si="4"/>
        <v>1_53___01/20/2023_2023_MonMon_CRC__OW__3__Nutrients</v>
      </c>
    </row>
    <row r="41" spans="1:18" x14ac:dyDescent="0.25">
      <c r="A41">
        <v>1</v>
      </c>
      <c r="B41">
        <v>54</v>
      </c>
      <c r="E41" s="1">
        <v>44946</v>
      </c>
      <c r="F41" s="11">
        <f t="shared" si="3"/>
        <v>44946</v>
      </c>
      <c r="G41">
        <f t="shared" si="0"/>
        <v>2023</v>
      </c>
      <c r="H41">
        <f t="shared" si="1"/>
        <v>1</v>
      </c>
      <c r="I41">
        <f t="shared" si="5"/>
        <v>20</v>
      </c>
      <c r="J41" t="s">
        <v>10</v>
      </c>
      <c r="K41" t="s">
        <v>16</v>
      </c>
      <c r="L41" t="s">
        <v>14</v>
      </c>
      <c r="M41" t="s">
        <v>19</v>
      </c>
      <c r="O41">
        <v>1</v>
      </c>
      <c r="Q41" t="s">
        <v>12</v>
      </c>
      <c r="R41" t="str">
        <f t="shared" si="4"/>
        <v>1_54___01/20/2023_2023_MonMon_CRC_TR_Stand__1__Nutrients</v>
      </c>
    </row>
    <row r="42" spans="1:18" x14ac:dyDescent="0.25">
      <c r="A42">
        <v>1</v>
      </c>
      <c r="B42">
        <v>55</v>
      </c>
      <c r="E42" s="1">
        <v>44946</v>
      </c>
      <c r="F42" s="11">
        <f t="shared" si="3"/>
        <v>44946</v>
      </c>
      <c r="G42">
        <f t="shared" si="0"/>
        <v>2023</v>
      </c>
      <c r="H42">
        <f t="shared" si="1"/>
        <v>1</v>
      </c>
      <c r="I42">
        <f t="shared" si="5"/>
        <v>20</v>
      </c>
      <c r="J42" t="s">
        <v>10</v>
      </c>
      <c r="K42" t="s">
        <v>16</v>
      </c>
      <c r="L42" t="s">
        <v>14</v>
      </c>
      <c r="M42" t="s">
        <v>19</v>
      </c>
      <c r="O42">
        <v>2</v>
      </c>
      <c r="Q42" t="s">
        <v>12</v>
      </c>
      <c r="R42" t="str">
        <f t="shared" si="4"/>
        <v>1_55___01/20/2023_2023_MonMon_CRC_TR_Stand__2__Nutrients</v>
      </c>
    </row>
    <row r="43" spans="1:18" x14ac:dyDescent="0.25">
      <c r="A43">
        <v>1</v>
      </c>
      <c r="B43">
        <v>56</v>
      </c>
      <c r="E43" s="1">
        <v>44946</v>
      </c>
      <c r="F43" s="11">
        <f t="shared" si="3"/>
        <v>44946</v>
      </c>
      <c r="G43">
        <f t="shared" si="0"/>
        <v>2023</v>
      </c>
      <c r="H43">
        <f t="shared" si="1"/>
        <v>1</v>
      </c>
      <c r="I43">
        <f t="shared" si="5"/>
        <v>20</v>
      </c>
      <c r="J43" t="s">
        <v>10</v>
      </c>
      <c r="K43" t="s">
        <v>16</v>
      </c>
      <c r="L43" t="s">
        <v>14</v>
      </c>
      <c r="M43" t="s">
        <v>19</v>
      </c>
      <c r="O43">
        <v>3</v>
      </c>
      <c r="Q43" t="s">
        <v>12</v>
      </c>
      <c r="R43" t="str">
        <f t="shared" si="4"/>
        <v>1_56___01/20/2023_2023_MonMon_CRC_TR_Stand__3__Nutrients</v>
      </c>
    </row>
    <row r="44" spans="1:18" x14ac:dyDescent="0.25">
      <c r="A44">
        <v>1</v>
      </c>
      <c r="B44">
        <v>57</v>
      </c>
      <c r="E44" s="1">
        <v>44946</v>
      </c>
      <c r="F44" s="11">
        <f t="shared" si="3"/>
        <v>44946</v>
      </c>
      <c r="G44">
        <f t="shared" si="0"/>
        <v>2023</v>
      </c>
      <c r="H44">
        <f t="shared" si="1"/>
        <v>1</v>
      </c>
      <c r="I44">
        <f t="shared" si="5"/>
        <v>20</v>
      </c>
      <c r="J44" t="s">
        <v>10</v>
      </c>
      <c r="K44" t="s">
        <v>16</v>
      </c>
      <c r="L44" t="s">
        <v>9</v>
      </c>
      <c r="M44" t="s">
        <v>19</v>
      </c>
      <c r="O44">
        <v>1</v>
      </c>
      <c r="Q44" t="s">
        <v>12</v>
      </c>
      <c r="R44" t="str">
        <f t="shared" si="4"/>
        <v>1_57___01/20/2023_2023_MonMon_CRC_W_Stand__1__Nutrients</v>
      </c>
    </row>
    <row r="45" spans="1:18" x14ac:dyDescent="0.25">
      <c r="A45">
        <v>1</v>
      </c>
      <c r="B45">
        <v>58</v>
      </c>
      <c r="E45" s="1">
        <v>44946</v>
      </c>
      <c r="F45" s="11">
        <f t="shared" si="3"/>
        <v>44946</v>
      </c>
      <c r="G45">
        <f t="shared" si="0"/>
        <v>2023</v>
      </c>
      <c r="H45">
        <f t="shared" si="1"/>
        <v>1</v>
      </c>
      <c r="I45">
        <f t="shared" si="5"/>
        <v>20</v>
      </c>
      <c r="J45" t="s">
        <v>10</v>
      </c>
      <c r="K45" t="s">
        <v>16</v>
      </c>
      <c r="L45" t="s">
        <v>9</v>
      </c>
      <c r="M45" t="s">
        <v>19</v>
      </c>
      <c r="O45">
        <v>2</v>
      </c>
      <c r="Q45" t="s">
        <v>12</v>
      </c>
      <c r="R45" t="str">
        <f t="shared" si="4"/>
        <v>1_58___01/20/2023_2023_MonMon_CRC_W_Stand__2__Nutrients</v>
      </c>
    </row>
    <row r="46" spans="1:18" x14ac:dyDescent="0.25">
      <c r="A46">
        <v>1</v>
      </c>
      <c r="B46">
        <v>59</v>
      </c>
      <c r="E46" s="1">
        <v>44946</v>
      </c>
      <c r="F46" s="11">
        <f t="shared" si="3"/>
        <v>44946</v>
      </c>
      <c r="G46">
        <f t="shared" si="0"/>
        <v>2023</v>
      </c>
      <c r="H46">
        <f t="shared" si="1"/>
        <v>1</v>
      </c>
      <c r="I46">
        <f t="shared" si="5"/>
        <v>20</v>
      </c>
      <c r="J46" t="s">
        <v>10</v>
      </c>
      <c r="K46" t="s">
        <v>16</v>
      </c>
      <c r="L46" t="s">
        <v>9</v>
      </c>
      <c r="M46" t="s">
        <v>19</v>
      </c>
      <c r="O46">
        <v>3</v>
      </c>
      <c r="Q46" t="s">
        <v>12</v>
      </c>
      <c r="R46" t="str">
        <f t="shared" si="4"/>
        <v>1_59___01/20/2023_2023_MonMon_CRC_W_Stand__3__Nutrients</v>
      </c>
    </row>
    <row r="47" spans="1:18" x14ac:dyDescent="0.25">
      <c r="A47">
        <v>1</v>
      </c>
      <c r="B47">
        <v>60</v>
      </c>
      <c r="E47" s="1">
        <v>44946</v>
      </c>
      <c r="F47" s="11">
        <f t="shared" si="3"/>
        <v>44946</v>
      </c>
      <c r="G47">
        <f t="shared" si="0"/>
        <v>2023</v>
      </c>
      <c r="H47">
        <f t="shared" si="1"/>
        <v>1</v>
      </c>
      <c r="I47">
        <f t="shared" si="5"/>
        <v>20</v>
      </c>
      <c r="J47" t="s">
        <v>10</v>
      </c>
      <c r="K47" t="s">
        <v>16</v>
      </c>
      <c r="L47" t="s">
        <v>17</v>
      </c>
      <c r="M47" t="s">
        <v>11</v>
      </c>
      <c r="N47" t="s">
        <v>15</v>
      </c>
      <c r="O47" t="s">
        <v>23</v>
      </c>
      <c r="P47">
        <v>10</v>
      </c>
      <c r="Q47" t="s">
        <v>12</v>
      </c>
      <c r="R47" t="str">
        <f t="shared" si="4"/>
        <v>1_60___01/20/2023_2023_MonMon_CRC_UP_PW_Lys_A_10_Nutrients</v>
      </c>
    </row>
    <row r="48" spans="1:18" x14ac:dyDescent="0.25">
      <c r="A48">
        <v>1</v>
      </c>
      <c r="B48">
        <v>61</v>
      </c>
      <c r="E48" s="1">
        <v>44946</v>
      </c>
      <c r="F48" s="11">
        <f t="shared" si="3"/>
        <v>44946</v>
      </c>
      <c r="G48">
        <f t="shared" si="0"/>
        <v>2023</v>
      </c>
      <c r="H48">
        <f t="shared" si="1"/>
        <v>1</v>
      </c>
      <c r="I48">
        <f t="shared" si="5"/>
        <v>20</v>
      </c>
      <c r="J48" t="s">
        <v>10</v>
      </c>
      <c r="K48" t="s">
        <v>16</v>
      </c>
      <c r="L48" t="s">
        <v>14</v>
      </c>
      <c r="M48" t="s">
        <v>11</v>
      </c>
      <c r="N48" t="s">
        <v>15</v>
      </c>
      <c r="O48" t="s">
        <v>23</v>
      </c>
      <c r="P48">
        <v>10</v>
      </c>
      <c r="Q48" t="s">
        <v>12</v>
      </c>
      <c r="R48" t="str">
        <f t="shared" si="4"/>
        <v>1_61___01/20/2023_2023_MonMon_CRC_TR_PW_Lys_A_10_Nutrients</v>
      </c>
    </row>
    <row r="49" spans="1:18" x14ac:dyDescent="0.25">
      <c r="A49">
        <v>1</v>
      </c>
      <c r="B49">
        <v>62</v>
      </c>
      <c r="E49" s="1">
        <v>44946</v>
      </c>
      <c r="F49" s="11">
        <f t="shared" si="3"/>
        <v>44946</v>
      </c>
      <c r="G49">
        <f t="shared" si="0"/>
        <v>2023</v>
      </c>
      <c r="H49">
        <f t="shared" si="1"/>
        <v>1</v>
      </c>
      <c r="I49">
        <f t="shared" si="5"/>
        <v>20</v>
      </c>
      <c r="J49" t="s">
        <v>10</v>
      </c>
      <c r="K49" t="s">
        <v>16</v>
      </c>
      <c r="L49" t="s">
        <v>14</v>
      </c>
      <c r="M49" t="s">
        <v>11</v>
      </c>
      <c r="N49" t="s">
        <v>15</v>
      </c>
      <c r="O49" t="s">
        <v>23</v>
      </c>
      <c r="P49">
        <v>20</v>
      </c>
      <c r="Q49" t="s">
        <v>12</v>
      </c>
      <c r="R49" t="str">
        <f t="shared" si="4"/>
        <v>1_62___01/20/2023_2023_MonMon_CRC_TR_PW_Lys_A_20_Nutrients</v>
      </c>
    </row>
    <row r="50" spans="1:18" x14ac:dyDescent="0.25">
      <c r="A50">
        <v>1</v>
      </c>
      <c r="B50">
        <v>63</v>
      </c>
      <c r="E50" s="1">
        <v>44946</v>
      </c>
      <c r="F50" s="11">
        <f t="shared" si="3"/>
        <v>44946</v>
      </c>
      <c r="G50">
        <f t="shared" si="0"/>
        <v>2023</v>
      </c>
      <c r="H50">
        <f t="shared" si="1"/>
        <v>1</v>
      </c>
      <c r="I50">
        <f t="shared" si="5"/>
        <v>20</v>
      </c>
      <c r="J50" t="s">
        <v>10</v>
      </c>
      <c r="K50" t="s">
        <v>16</v>
      </c>
      <c r="L50" t="s">
        <v>14</v>
      </c>
      <c r="M50" t="s">
        <v>11</v>
      </c>
      <c r="N50" t="s">
        <v>15</v>
      </c>
      <c r="O50" t="s">
        <v>23</v>
      </c>
      <c r="P50">
        <v>45</v>
      </c>
      <c r="Q50" t="s">
        <v>12</v>
      </c>
      <c r="R50" t="str">
        <f t="shared" si="4"/>
        <v>1_63___01/20/2023_2023_MonMon_CRC_TR_PW_Lys_A_45_Nutrients</v>
      </c>
    </row>
    <row r="51" spans="1:18" x14ac:dyDescent="0.25">
      <c r="A51">
        <v>1</v>
      </c>
      <c r="B51">
        <v>64</v>
      </c>
      <c r="E51" s="1">
        <v>44946</v>
      </c>
      <c r="F51" s="11">
        <f t="shared" si="3"/>
        <v>44946</v>
      </c>
      <c r="G51">
        <f t="shared" si="0"/>
        <v>2023</v>
      </c>
      <c r="H51">
        <f t="shared" si="1"/>
        <v>1</v>
      </c>
      <c r="I51">
        <f t="shared" si="5"/>
        <v>20</v>
      </c>
      <c r="J51" t="s">
        <v>10</v>
      </c>
      <c r="K51" t="s">
        <v>16</v>
      </c>
      <c r="L51" t="s">
        <v>14</v>
      </c>
      <c r="M51" t="s">
        <v>11</v>
      </c>
      <c r="N51" t="s">
        <v>15</v>
      </c>
      <c r="O51" t="s">
        <v>24</v>
      </c>
      <c r="P51">
        <v>10</v>
      </c>
      <c r="Q51" t="s">
        <v>12</v>
      </c>
      <c r="R51" t="str">
        <f t="shared" si="4"/>
        <v>1_64___01/20/2023_2023_MonMon_CRC_TR_PW_Lys_B_10_Nutrients</v>
      </c>
    </row>
    <row r="52" spans="1:18" x14ac:dyDescent="0.25">
      <c r="A52">
        <v>1</v>
      </c>
      <c r="B52">
        <v>65</v>
      </c>
      <c r="E52" s="1">
        <v>44946</v>
      </c>
      <c r="F52" s="11">
        <f t="shared" si="3"/>
        <v>44946</v>
      </c>
      <c r="G52">
        <f t="shared" si="0"/>
        <v>2023</v>
      </c>
      <c r="H52">
        <f t="shared" si="1"/>
        <v>1</v>
      </c>
      <c r="I52">
        <f t="shared" si="5"/>
        <v>20</v>
      </c>
      <c r="J52" t="s">
        <v>10</v>
      </c>
      <c r="K52" t="s">
        <v>16</v>
      </c>
      <c r="L52" t="s">
        <v>14</v>
      </c>
      <c r="M52" t="s">
        <v>11</v>
      </c>
      <c r="N52" t="s">
        <v>15</v>
      </c>
      <c r="O52" t="s">
        <v>24</v>
      </c>
      <c r="P52">
        <v>20</v>
      </c>
      <c r="Q52" t="s">
        <v>12</v>
      </c>
      <c r="R52" t="str">
        <f t="shared" si="4"/>
        <v>1_65___01/20/2023_2023_MonMon_CRC_TR_PW_Lys_B_20_Nutrients</v>
      </c>
    </row>
    <row r="53" spans="1:18" x14ac:dyDescent="0.25">
      <c r="A53">
        <v>1</v>
      </c>
      <c r="B53">
        <v>66</v>
      </c>
      <c r="E53" s="1">
        <v>44946</v>
      </c>
      <c r="F53" s="11">
        <f t="shared" si="3"/>
        <v>44946</v>
      </c>
      <c r="G53">
        <f t="shared" si="0"/>
        <v>2023</v>
      </c>
      <c r="H53">
        <f t="shared" si="1"/>
        <v>1</v>
      </c>
      <c r="I53">
        <f t="shared" si="5"/>
        <v>20</v>
      </c>
      <c r="J53" t="s">
        <v>10</v>
      </c>
      <c r="K53" t="s">
        <v>16</v>
      </c>
      <c r="L53" t="s">
        <v>14</v>
      </c>
      <c r="M53" t="s">
        <v>11</v>
      </c>
      <c r="N53" t="s">
        <v>15</v>
      </c>
      <c r="O53" t="s">
        <v>24</v>
      </c>
      <c r="P53">
        <v>45</v>
      </c>
      <c r="Q53" t="s">
        <v>12</v>
      </c>
      <c r="R53" t="str">
        <f t="shared" si="4"/>
        <v>1_66___01/20/2023_2023_MonMon_CRC_TR_PW_Lys_B_45_Nutrients</v>
      </c>
    </row>
    <row r="54" spans="1:18" x14ac:dyDescent="0.25">
      <c r="A54">
        <v>1</v>
      </c>
      <c r="B54">
        <v>67</v>
      </c>
      <c r="E54" s="1">
        <v>44946</v>
      </c>
      <c r="F54" s="11">
        <f t="shared" si="3"/>
        <v>44946</v>
      </c>
      <c r="G54">
        <f t="shared" si="0"/>
        <v>2023</v>
      </c>
      <c r="H54">
        <f t="shared" si="1"/>
        <v>1</v>
      </c>
      <c r="I54">
        <f t="shared" si="5"/>
        <v>20</v>
      </c>
      <c r="J54" t="s">
        <v>10</v>
      </c>
      <c r="K54" t="s">
        <v>16</v>
      </c>
      <c r="L54" t="s">
        <v>14</v>
      </c>
      <c r="M54" t="s">
        <v>11</v>
      </c>
      <c r="N54" t="s">
        <v>15</v>
      </c>
      <c r="O54" t="s">
        <v>25</v>
      </c>
      <c r="P54">
        <v>10</v>
      </c>
      <c r="Q54" t="s">
        <v>12</v>
      </c>
      <c r="R54" t="str">
        <f t="shared" si="4"/>
        <v>1_67___01/20/2023_2023_MonMon_CRC_TR_PW_Lys_C_10_Nutrients</v>
      </c>
    </row>
    <row r="55" spans="1:18" x14ac:dyDescent="0.25">
      <c r="A55">
        <v>1</v>
      </c>
      <c r="B55">
        <v>68</v>
      </c>
      <c r="E55" s="1">
        <v>44946</v>
      </c>
      <c r="F55" s="11">
        <f t="shared" si="3"/>
        <v>44946</v>
      </c>
      <c r="G55">
        <f t="shared" si="0"/>
        <v>2023</v>
      </c>
      <c r="H55">
        <f t="shared" si="1"/>
        <v>1</v>
      </c>
      <c r="I55">
        <f t="shared" si="5"/>
        <v>20</v>
      </c>
      <c r="J55" t="s">
        <v>10</v>
      </c>
      <c r="K55" t="s">
        <v>16</v>
      </c>
      <c r="L55" t="s">
        <v>14</v>
      </c>
      <c r="M55" t="s">
        <v>11</v>
      </c>
      <c r="N55" t="s">
        <v>15</v>
      </c>
      <c r="O55" t="s">
        <v>25</v>
      </c>
      <c r="P55">
        <v>20</v>
      </c>
      <c r="Q55" t="s">
        <v>12</v>
      </c>
      <c r="R55" t="str">
        <f t="shared" si="4"/>
        <v>1_68___01/20/2023_2023_MonMon_CRC_TR_PW_Lys_C_20_Nutrients</v>
      </c>
    </row>
    <row r="56" spans="1:18" x14ac:dyDescent="0.25">
      <c r="A56">
        <v>1</v>
      </c>
      <c r="B56">
        <v>69</v>
      </c>
      <c r="E56" s="1">
        <v>44946</v>
      </c>
      <c r="F56" s="11">
        <f t="shared" si="3"/>
        <v>44946</v>
      </c>
      <c r="G56">
        <f t="shared" si="0"/>
        <v>2023</v>
      </c>
      <c r="H56">
        <f t="shared" si="1"/>
        <v>1</v>
      </c>
      <c r="I56">
        <f t="shared" si="5"/>
        <v>20</v>
      </c>
      <c r="J56" t="s">
        <v>10</v>
      </c>
      <c r="K56" t="s">
        <v>16</v>
      </c>
      <c r="L56" t="s">
        <v>14</v>
      </c>
      <c r="M56" t="s">
        <v>11</v>
      </c>
      <c r="N56" t="s">
        <v>15</v>
      </c>
      <c r="O56" t="s">
        <v>25</v>
      </c>
      <c r="P56">
        <v>45</v>
      </c>
      <c r="Q56" t="s">
        <v>12</v>
      </c>
      <c r="R56" t="str">
        <f t="shared" si="4"/>
        <v>1_69___01/20/2023_2023_MonMon_CRC_TR_PW_Lys_C_45_Nutrients</v>
      </c>
    </row>
    <row r="57" spans="1:18" x14ac:dyDescent="0.25">
      <c r="A57">
        <v>1</v>
      </c>
      <c r="B57">
        <v>71</v>
      </c>
      <c r="E57" s="1">
        <v>44946</v>
      </c>
      <c r="F57" s="11">
        <f t="shared" si="3"/>
        <v>44946</v>
      </c>
      <c r="G57">
        <f t="shared" si="0"/>
        <v>2023</v>
      </c>
      <c r="H57">
        <f t="shared" si="1"/>
        <v>1</v>
      </c>
      <c r="I57">
        <f t="shared" si="5"/>
        <v>20</v>
      </c>
      <c r="J57" t="s">
        <v>10</v>
      </c>
      <c r="K57" t="s">
        <v>16</v>
      </c>
      <c r="L57" t="s">
        <v>9</v>
      </c>
      <c r="M57" t="s">
        <v>11</v>
      </c>
      <c r="N57" t="s">
        <v>27</v>
      </c>
      <c r="O57" t="s">
        <v>23</v>
      </c>
      <c r="P57">
        <v>10</v>
      </c>
      <c r="Q57" t="s">
        <v>12</v>
      </c>
      <c r="R57" t="str">
        <f t="shared" si="4"/>
        <v>1_71___01/20/2023_2023_MonMon_CRC_W_PW_Sip_A_10_Nutrients</v>
      </c>
    </row>
    <row r="58" spans="1:18" x14ac:dyDescent="0.25">
      <c r="A58">
        <v>1</v>
      </c>
      <c r="B58">
        <v>72</v>
      </c>
      <c r="E58" s="1">
        <v>44946</v>
      </c>
      <c r="F58" s="11">
        <f t="shared" si="3"/>
        <v>44946</v>
      </c>
      <c r="G58">
        <f t="shared" si="0"/>
        <v>2023</v>
      </c>
      <c r="H58">
        <f t="shared" si="1"/>
        <v>1</v>
      </c>
      <c r="I58">
        <f t="shared" si="5"/>
        <v>20</v>
      </c>
      <c r="J58" t="s">
        <v>10</v>
      </c>
      <c r="K58" t="s">
        <v>16</v>
      </c>
      <c r="L58" t="s">
        <v>9</v>
      </c>
      <c r="M58" t="s">
        <v>11</v>
      </c>
      <c r="N58" t="s">
        <v>27</v>
      </c>
      <c r="O58" t="s">
        <v>23</v>
      </c>
      <c r="P58">
        <v>20</v>
      </c>
      <c r="Q58" t="s">
        <v>12</v>
      </c>
      <c r="R58" t="str">
        <f t="shared" si="4"/>
        <v>1_72___01/20/2023_2023_MonMon_CRC_W_PW_Sip_A_20_Nutrients</v>
      </c>
    </row>
    <row r="59" spans="1:18" x14ac:dyDescent="0.25">
      <c r="A59">
        <v>1</v>
      </c>
      <c r="B59">
        <v>73</v>
      </c>
      <c r="E59" s="1">
        <v>44946</v>
      </c>
      <c r="F59" s="11">
        <f t="shared" si="3"/>
        <v>44946</v>
      </c>
      <c r="G59">
        <f t="shared" si="0"/>
        <v>2023</v>
      </c>
      <c r="H59">
        <f t="shared" si="1"/>
        <v>1</v>
      </c>
      <c r="I59">
        <f t="shared" si="5"/>
        <v>20</v>
      </c>
      <c r="J59" t="s">
        <v>10</v>
      </c>
      <c r="K59" t="s">
        <v>16</v>
      </c>
      <c r="L59" t="s">
        <v>9</v>
      </c>
      <c r="M59" t="s">
        <v>11</v>
      </c>
      <c r="N59" t="s">
        <v>27</v>
      </c>
      <c r="O59" t="s">
        <v>23</v>
      </c>
      <c r="P59">
        <v>45</v>
      </c>
      <c r="Q59" t="s">
        <v>12</v>
      </c>
      <c r="R59" t="str">
        <f t="shared" si="4"/>
        <v>1_73___01/20/2023_2023_MonMon_CRC_W_PW_Sip_A_45_Nutrients</v>
      </c>
    </row>
    <row r="60" spans="1:18" x14ac:dyDescent="0.25">
      <c r="A60">
        <v>1</v>
      </c>
      <c r="B60">
        <v>74</v>
      </c>
      <c r="E60" s="1">
        <v>44946</v>
      </c>
      <c r="F60" s="11">
        <f t="shared" si="3"/>
        <v>44946</v>
      </c>
      <c r="G60">
        <f t="shared" si="0"/>
        <v>2023</v>
      </c>
      <c r="H60">
        <f t="shared" si="1"/>
        <v>1</v>
      </c>
      <c r="I60">
        <f t="shared" si="5"/>
        <v>20</v>
      </c>
      <c r="J60" t="s">
        <v>10</v>
      </c>
      <c r="K60" t="s">
        <v>16</v>
      </c>
      <c r="L60" t="s">
        <v>9</v>
      </c>
      <c r="M60" t="s">
        <v>11</v>
      </c>
      <c r="N60" t="s">
        <v>27</v>
      </c>
      <c r="O60" t="s">
        <v>24</v>
      </c>
      <c r="P60">
        <v>10</v>
      </c>
      <c r="Q60" t="s">
        <v>12</v>
      </c>
      <c r="R60" t="str">
        <f t="shared" si="4"/>
        <v>1_74___01/20/2023_2023_MonMon_CRC_W_PW_Sip_B_10_Nutrients</v>
      </c>
    </row>
    <row r="61" spans="1:18" x14ac:dyDescent="0.25">
      <c r="A61">
        <v>1</v>
      </c>
      <c r="B61">
        <v>75</v>
      </c>
      <c r="E61" s="1">
        <v>44946</v>
      </c>
      <c r="F61" s="11">
        <f t="shared" si="3"/>
        <v>44946</v>
      </c>
      <c r="G61">
        <f t="shared" si="0"/>
        <v>2023</v>
      </c>
      <c r="H61">
        <f t="shared" si="1"/>
        <v>1</v>
      </c>
      <c r="I61">
        <f t="shared" si="5"/>
        <v>20</v>
      </c>
      <c r="J61" t="s">
        <v>10</v>
      </c>
      <c r="K61" t="s">
        <v>16</v>
      </c>
      <c r="L61" t="s">
        <v>9</v>
      </c>
      <c r="M61" t="s">
        <v>11</v>
      </c>
      <c r="N61" t="s">
        <v>27</v>
      </c>
      <c r="O61" t="s">
        <v>24</v>
      </c>
      <c r="P61">
        <v>20</v>
      </c>
      <c r="Q61" t="s">
        <v>12</v>
      </c>
      <c r="R61" t="str">
        <f t="shared" si="4"/>
        <v>1_75___01/20/2023_2023_MonMon_CRC_W_PW_Sip_B_20_Nutrients</v>
      </c>
    </row>
    <row r="62" spans="1:18" x14ac:dyDescent="0.25">
      <c r="A62">
        <v>1</v>
      </c>
      <c r="B62">
        <v>76</v>
      </c>
      <c r="E62" s="1">
        <v>44946</v>
      </c>
      <c r="F62" s="11">
        <f t="shared" si="3"/>
        <v>44946</v>
      </c>
      <c r="G62">
        <f t="shared" si="0"/>
        <v>2023</v>
      </c>
      <c r="H62">
        <f t="shared" si="1"/>
        <v>1</v>
      </c>
      <c r="I62">
        <f t="shared" si="5"/>
        <v>20</v>
      </c>
      <c r="J62" t="s">
        <v>10</v>
      </c>
      <c r="K62" t="s">
        <v>16</v>
      </c>
      <c r="L62" t="s">
        <v>9</v>
      </c>
      <c r="M62" t="s">
        <v>11</v>
      </c>
      <c r="N62" t="s">
        <v>27</v>
      </c>
      <c r="O62" t="s">
        <v>24</v>
      </c>
      <c r="P62">
        <v>45</v>
      </c>
      <c r="Q62" t="s">
        <v>12</v>
      </c>
      <c r="R62" t="str">
        <f t="shared" si="4"/>
        <v>1_76___01/20/2023_2023_MonMon_CRC_W_PW_Sip_B_45_Nutrients</v>
      </c>
    </row>
    <row r="63" spans="1:18" x14ac:dyDescent="0.25">
      <c r="A63">
        <v>1</v>
      </c>
      <c r="B63">
        <v>77</v>
      </c>
      <c r="E63" s="1">
        <v>44946</v>
      </c>
      <c r="F63" s="11">
        <f t="shared" si="3"/>
        <v>44946</v>
      </c>
      <c r="G63">
        <f t="shared" si="0"/>
        <v>2023</v>
      </c>
      <c r="H63">
        <f t="shared" si="1"/>
        <v>1</v>
      </c>
      <c r="I63">
        <f t="shared" si="5"/>
        <v>20</v>
      </c>
      <c r="J63" t="s">
        <v>10</v>
      </c>
      <c r="K63" t="s">
        <v>16</v>
      </c>
      <c r="L63" t="s">
        <v>9</v>
      </c>
      <c r="M63" t="s">
        <v>11</v>
      </c>
      <c r="N63" t="s">
        <v>27</v>
      </c>
      <c r="O63" t="s">
        <v>25</v>
      </c>
      <c r="P63">
        <v>10</v>
      </c>
      <c r="Q63" t="s">
        <v>12</v>
      </c>
      <c r="R63" t="str">
        <f t="shared" si="4"/>
        <v>1_77___01/20/2023_2023_MonMon_CRC_W_PW_Sip_C_10_Nutrients</v>
      </c>
    </row>
    <row r="64" spans="1:18" x14ac:dyDescent="0.25">
      <c r="A64">
        <v>1</v>
      </c>
      <c r="B64">
        <v>78</v>
      </c>
      <c r="E64" s="1">
        <v>44946</v>
      </c>
      <c r="F64" s="11">
        <f t="shared" si="3"/>
        <v>44946</v>
      </c>
      <c r="G64">
        <f t="shared" si="0"/>
        <v>2023</v>
      </c>
      <c r="H64">
        <f t="shared" si="1"/>
        <v>1</v>
      </c>
      <c r="I64">
        <f t="shared" si="5"/>
        <v>20</v>
      </c>
      <c r="J64" t="s">
        <v>10</v>
      </c>
      <c r="K64" t="s">
        <v>16</v>
      </c>
      <c r="L64" t="s">
        <v>9</v>
      </c>
      <c r="M64" t="s">
        <v>11</v>
      </c>
      <c r="N64" t="s">
        <v>27</v>
      </c>
      <c r="O64" t="s">
        <v>25</v>
      </c>
      <c r="P64">
        <v>20</v>
      </c>
      <c r="Q64" t="s">
        <v>12</v>
      </c>
      <c r="R64" t="str">
        <f t="shared" si="4"/>
        <v>1_78___01/20/2023_2023_MonMon_CRC_W_PW_Sip_C_20_Nutrients</v>
      </c>
    </row>
    <row r="65" spans="1:18" x14ac:dyDescent="0.25">
      <c r="A65">
        <v>1</v>
      </c>
      <c r="B65">
        <v>79</v>
      </c>
      <c r="E65" s="1">
        <v>44946</v>
      </c>
      <c r="F65" s="11">
        <f t="shared" si="3"/>
        <v>44946</v>
      </c>
      <c r="G65">
        <f t="shared" si="0"/>
        <v>2023</v>
      </c>
      <c r="H65">
        <f t="shared" si="1"/>
        <v>1</v>
      </c>
      <c r="I65">
        <f t="shared" si="5"/>
        <v>20</v>
      </c>
      <c r="J65" t="s">
        <v>10</v>
      </c>
      <c r="K65" t="s">
        <v>16</v>
      </c>
      <c r="L65" t="s">
        <v>9</v>
      </c>
      <c r="M65" t="s">
        <v>11</v>
      </c>
      <c r="N65" t="s">
        <v>27</v>
      </c>
      <c r="O65" t="s">
        <v>25</v>
      </c>
      <c r="P65">
        <v>45</v>
      </c>
      <c r="Q65" t="s">
        <v>12</v>
      </c>
      <c r="R65" t="str">
        <f t="shared" si="4"/>
        <v>1_79___01/20/2023_2023_MonMon_CRC_W_PW_Sip_C_45_Nutrients</v>
      </c>
    </row>
    <row r="66" spans="1:18" x14ac:dyDescent="0.25">
      <c r="A66">
        <v>1</v>
      </c>
      <c r="B66">
        <v>81</v>
      </c>
      <c r="E66" s="1">
        <v>44946</v>
      </c>
      <c r="F66" s="11">
        <f t="shared" si="3"/>
        <v>44946</v>
      </c>
      <c r="G66">
        <f t="shared" ref="G66:G129" si="6">YEAR(E66)</f>
        <v>2023</v>
      </c>
      <c r="H66">
        <f t="shared" ref="H66:H129" si="7">MONTH(E66)</f>
        <v>1</v>
      </c>
      <c r="I66">
        <f t="shared" ref="I66:I97" si="8">DAY(E66)</f>
        <v>20</v>
      </c>
      <c r="J66" t="s">
        <v>10</v>
      </c>
      <c r="K66" t="s">
        <v>16</v>
      </c>
      <c r="L66" t="s">
        <v>17</v>
      </c>
      <c r="M66" t="s">
        <v>26</v>
      </c>
      <c r="N66" t="s">
        <v>18</v>
      </c>
      <c r="O66">
        <v>1</v>
      </c>
      <c r="Q66" t="s">
        <v>12</v>
      </c>
      <c r="R66" t="str">
        <f t="shared" si="4"/>
        <v>1_81___01/20/2023_2023_MonMon_CRC_UP_RZ_Rz_1__Nutrients</v>
      </c>
    </row>
    <row r="67" spans="1:18" x14ac:dyDescent="0.25">
      <c r="A67">
        <v>1</v>
      </c>
      <c r="B67">
        <v>82</v>
      </c>
      <c r="E67" s="1">
        <v>44946</v>
      </c>
      <c r="F67" s="11">
        <f t="shared" ref="F67:F130" si="9">E67</f>
        <v>44946</v>
      </c>
      <c r="G67">
        <f t="shared" si="6"/>
        <v>2023</v>
      </c>
      <c r="H67">
        <f t="shared" si="7"/>
        <v>1</v>
      </c>
      <c r="I67">
        <f t="shared" si="8"/>
        <v>20</v>
      </c>
      <c r="J67" t="s">
        <v>10</v>
      </c>
      <c r="K67" t="s">
        <v>16</v>
      </c>
      <c r="L67" t="s">
        <v>17</v>
      </c>
      <c r="M67" t="s">
        <v>26</v>
      </c>
      <c r="N67" t="s">
        <v>18</v>
      </c>
      <c r="O67">
        <v>2</v>
      </c>
      <c r="Q67" t="s">
        <v>12</v>
      </c>
      <c r="R67" t="str">
        <f t="shared" ref="R67:R130" si="10">CONCATENATE(A67,"_",B67,"_", C67,"_",D67,"_",TEXT(E67, "mm/dd/yyyy"),"_",G67,"_",J67,"_",K67,"_",L67,"_",M67,"_",N67,"_",O67,"_",P67,"_",Q67)</f>
        <v>1_82___01/20/2023_2023_MonMon_CRC_UP_RZ_Rz_2__Nutrients</v>
      </c>
    </row>
    <row r="68" spans="1:18" x14ac:dyDescent="0.25">
      <c r="A68">
        <v>1</v>
      </c>
      <c r="B68">
        <v>83</v>
      </c>
      <c r="E68" s="1">
        <v>44946</v>
      </c>
      <c r="F68" s="11">
        <f t="shared" si="9"/>
        <v>44946</v>
      </c>
      <c r="G68">
        <f t="shared" si="6"/>
        <v>2023</v>
      </c>
      <c r="H68">
        <f t="shared" si="7"/>
        <v>1</v>
      </c>
      <c r="I68">
        <f t="shared" si="8"/>
        <v>20</v>
      </c>
      <c r="J68" t="s">
        <v>10</v>
      </c>
      <c r="K68" t="s">
        <v>16</v>
      </c>
      <c r="L68" t="s">
        <v>17</v>
      </c>
      <c r="M68" t="s">
        <v>26</v>
      </c>
      <c r="N68" t="s">
        <v>18</v>
      </c>
      <c r="O68">
        <v>3</v>
      </c>
      <c r="Q68" t="s">
        <v>12</v>
      </c>
      <c r="R68" t="str">
        <f t="shared" si="10"/>
        <v>1_83___01/20/2023_2023_MonMon_CRC_UP_RZ_Rz_3__Nutrients</v>
      </c>
    </row>
    <row r="69" spans="1:18" x14ac:dyDescent="0.25">
      <c r="A69">
        <v>1</v>
      </c>
      <c r="B69">
        <v>84</v>
      </c>
      <c r="E69" s="1">
        <v>44946</v>
      </c>
      <c r="F69" s="11">
        <f t="shared" si="9"/>
        <v>44946</v>
      </c>
      <c r="G69">
        <f t="shared" si="6"/>
        <v>2023</v>
      </c>
      <c r="H69">
        <f t="shared" si="7"/>
        <v>1</v>
      </c>
      <c r="I69">
        <f t="shared" si="8"/>
        <v>20</v>
      </c>
      <c r="J69" t="s">
        <v>10</v>
      </c>
      <c r="K69" t="s">
        <v>16</v>
      </c>
      <c r="L69" t="s">
        <v>17</v>
      </c>
      <c r="M69" t="s">
        <v>26</v>
      </c>
      <c r="N69" t="s">
        <v>18</v>
      </c>
      <c r="O69">
        <v>4</v>
      </c>
      <c r="Q69" t="s">
        <v>12</v>
      </c>
      <c r="R69" t="str">
        <f t="shared" si="10"/>
        <v>1_84___01/20/2023_2023_MonMon_CRC_UP_RZ_Rz_4__Nutrients</v>
      </c>
    </row>
    <row r="70" spans="1:18" x14ac:dyDescent="0.25">
      <c r="A70">
        <v>1</v>
      </c>
      <c r="B70">
        <v>85</v>
      </c>
      <c r="E70" s="1">
        <v>44946</v>
      </c>
      <c r="F70" s="11">
        <f t="shared" si="9"/>
        <v>44946</v>
      </c>
      <c r="G70">
        <f t="shared" si="6"/>
        <v>2023</v>
      </c>
      <c r="H70">
        <f t="shared" si="7"/>
        <v>1</v>
      </c>
      <c r="I70">
        <f t="shared" si="8"/>
        <v>20</v>
      </c>
      <c r="J70" t="s">
        <v>10</v>
      </c>
      <c r="K70" t="s">
        <v>16</v>
      </c>
      <c r="L70" t="s">
        <v>17</v>
      </c>
      <c r="M70" t="s">
        <v>26</v>
      </c>
      <c r="N70" t="s">
        <v>18</v>
      </c>
      <c r="O70">
        <v>5</v>
      </c>
      <c r="Q70" t="s">
        <v>12</v>
      </c>
      <c r="R70" t="str">
        <f t="shared" si="10"/>
        <v>1_85___01/20/2023_2023_MonMon_CRC_UP_RZ_Rz_5__Nutrients</v>
      </c>
    </row>
    <row r="71" spans="1:18" x14ac:dyDescent="0.25">
      <c r="A71">
        <v>1</v>
      </c>
      <c r="B71">
        <v>86</v>
      </c>
      <c r="E71" s="1">
        <v>44946</v>
      </c>
      <c r="F71" s="11">
        <f t="shared" si="9"/>
        <v>44946</v>
      </c>
      <c r="G71">
        <f t="shared" si="6"/>
        <v>2023</v>
      </c>
      <c r="H71">
        <f t="shared" si="7"/>
        <v>1</v>
      </c>
      <c r="I71">
        <f t="shared" si="8"/>
        <v>20</v>
      </c>
      <c r="J71" t="s">
        <v>10</v>
      </c>
      <c r="K71" t="s">
        <v>16</v>
      </c>
      <c r="L71" t="s">
        <v>17</v>
      </c>
      <c r="M71" t="s">
        <v>26</v>
      </c>
      <c r="N71" t="s">
        <v>18</v>
      </c>
      <c r="O71">
        <v>6</v>
      </c>
      <c r="Q71" t="s">
        <v>12</v>
      </c>
      <c r="R71" t="str">
        <f t="shared" si="10"/>
        <v>1_86___01/20/2023_2023_MonMon_CRC_UP_RZ_Rz_6__Nutrients</v>
      </c>
    </row>
    <row r="72" spans="1:18" x14ac:dyDescent="0.25">
      <c r="A72">
        <v>1</v>
      </c>
      <c r="B72">
        <v>88</v>
      </c>
      <c r="E72" s="1">
        <v>44946</v>
      </c>
      <c r="F72" s="11">
        <f t="shared" si="9"/>
        <v>44946</v>
      </c>
      <c r="G72">
        <f t="shared" si="6"/>
        <v>2023</v>
      </c>
      <c r="H72">
        <f t="shared" si="7"/>
        <v>1</v>
      </c>
      <c r="I72">
        <f t="shared" si="8"/>
        <v>20</v>
      </c>
      <c r="J72" t="s">
        <v>10</v>
      </c>
      <c r="K72" t="s">
        <v>16</v>
      </c>
      <c r="L72" t="s">
        <v>17</v>
      </c>
      <c r="M72" t="s">
        <v>26</v>
      </c>
      <c r="N72" t="s">
        <v>18</v>
      </c>
      <c r="O72">
        <v>8</v>
      </c>
      <c r="Q72" t="s">
        <v>12</v>
      </c>
      <c r="R72" t="str">
        <f t="shared" si="10"/>
        <v>1_88___01/20/2023_2023_MonMon_CRC_UP_RZ_Rz_8__Nutrients</v>
      </c>
    </row>
    <row r="73" spans="1:18" x14ac:dyDescent="0.25">
      <c r="A73">
        <v>1</v>
      </c>
      <c r="B73">
        <v>91</v>
      </c>
      <c r="E73" s="1">
        <v>44946</v>
      </c>
      <c r="F73" s="11">
        <f t="shared" si="9"/>
        <v>44946</v>
      </c>
      <c r="G73">
        <f t="shared" si="6"/>
        <v>2023</v>
      </c>
      <c r="H73">
        <f t="shared" si="7"/>
        <v>1</v>
      </c>
      <c r="I73">
        <f t="shared" si="8"/>
        <v>20</v>
      </c>
      <c r="J73" t="s">
        <v>10</v>
      </c>
      <c r="K73" t="s">
        <v>16</v>
      </c>
      <c r="L73" t="s">
        <v>14</v>
      </c>
      <c r="M73" t="s">
        <v>26</v>
      </c>
      <c r="N73" t="s">
        <v>18</v>
      </c>
      <c r="O73">
        <v>1</v>
      </c>
      <c r="Q73" t="s">
        <v>12</v>
      </c>
      <c r="R73" t="str">
        <f t="shared" si="10"/>
        <v>1_91___01/20/2023_2023_MonMon_CRC_TR_RZ_Rz_1__Nutrients</v>
      </c>
    </row>
    <row r="74" spans="1:18" x14ac:dyDescent="0.25">
      <c r="A74">
        <v>1</v>
      </c>
      <c r="B74">
        <v>92</v>
      </c>
      <c r="E74" s="1">
        <v>44946</v>
      </c>
      <c r="F74" s="11">
        <f t="shared" si="9"/>
        <v>44946</v>
      </c>
      <c r="G74">
        <f t="shared" si="6"/>
        <v>2023</v>
      </c>
      <c r="H74">
        <f t="shared" si="7"/>
        <v>1</v>
      </c>
      <c r="I74">
        <f t="shared" si="8"/>
        <v>20</v>
      </c>
      <c r="J74" t="s">
        <v>10</v>
      </c>
      <c r="K74" t="s">
        <v>16</v>
      </c>
      <c r="L74" t="s">
        <v>14</v>
      </c>
      <c r="M74" t="s">
        <v>26</v>
      </c>
      <c r="N74" t="s">
        <v>18</v>
      </c>
      <c r="O74">
        <v>2</v>
      </c>
      <c r="Q74" t="s">
        <v>12</v>
      </c>
      <c r="R74" t="str">
        <f t="shared" si="10"/>
        <v>1_92___01/20/2023_2023_MonMon_CRC_TR_RZ_Rz_2__Nutrients</v>
      </c>
    </row>
    <row r="75" spans="1:18" x14ac:dyDescent="0.25">
      <c r="A75">
        <v>1</v>
      </c>
      <c r="B75">
        <v>93</v>
      </c>
      <c r="E75" s="1">
        <v>44946</v>
      </c>
      <c r="F75" s="11">
        <f t="shared" si="9"/>
        <v>44946</v>
      </c>
      <c r="G75">
        <f t="shared" si="6"/>
        <v>2023</v>
      </c>
      <c r="H75">
        <f t="shared" si="7"/>
        <v>1</v>
      </c>
      <c r="I75">
        <f t="shared" si="8"/>
        <v>20</v>
      </c>
      <c r="J75" t="s">
        <v>10</v>
      </c>
      <c r="K75" t="s">
        <v>16</v>
      </c>
      <c r="L75" t="s">
        <v>14</v>
      </c>
      <c r="M75" t="s">
        <v>26</v>
      </c>
      <c r="N75" t="s">
        <v>18</v>
      </c>
      <c r="O75">
        <v>3</v>
      </c>
      <c r="Q75" t="s">
        <v>12</v>
      </c>
      <c r="R75" t="str">
        <f t="shared" si="10"/>
        <v>1_93___01/20/2023_2023_MonMon_CRC_TR_RZ_Rz_3__Nutrients</v>
      </c>
    </row>
    <row r="76" spans="1:18" x14ac:dyDescent="0.25">
      <c r="A76">
        <v>1</v>
      </c>
      <c r="B76">
        <v>94</v>
      </c>
      <c r="E76" s="1">
        <v>44946</v>
      </c>
      <c r="F76" s="11">
        <f t="shared" si="9"/>
        <v>44946</v>
      </c>
      <c r="G76">
        <f t="shared" si="6"/>
        <v>2023</v>
      </c>
      <c r="H76">
        <f t="shared" si="7"/>
        <v>1</v>
      </c>
      <c r="I76">
        <f t="shared" si="8"/>
        <v>20</v>
      </c>
      <c r="J76" t="s">
        <v>10</v>
      </c>
      <c r="K76" t="s">
        <v>16</v>
      </c>
      <c r="L76" t="s">
        <v>14</v>
      </c>
      <c r="M76" t="s">
        <v>26</v>
      </c>
      <c r="N76" t="s">
        <v>18</v>
      </c>
      <c r="O76">
        <v>4</v>
      </c>
      <c r="Q76" t="s">
        <v>12</v>
      </c>
      <c r="R76" t="str">
        <f t="shared" si="10"/>
        <v>1_94___01/20/2023_2023_MonMon_CRC_TR_RZ_Rz_4__Nutrients</v>
      </c>
    </row>
    <row r="77" spans="1:18" x14ac:dyDescent="0.25">
      <c r="A77">
        <v>1</v>
      </c>
      <c r="B77">
        <v>95</v>
      </c>
      <c r="E77" s="1">
        <v>44946</v>
      </c>
      <c r="F77" s="11">
        <f t="shared" si="9"/>
        <v>44946</v>
      </c>
      <c r="G77">
        <f t="shared" si="6"/>
        <v>2023</v>
      </c>
      <c r="H77">
        <f t="shared" si="7"/>
        <v>1</v>
      </c>
      <c r="I77">
        <f t="shared" si="8"/>
        <v>20</v>
      </c>
      <c r="J77" t="s">
        <v>10</v>
      </c>
      <c r="K77" t="s">
        <v>16</v>
      </c>
      <c r="L77" t="s">
        <v>14</v>
      </c>
      <c r="M77" t="s">
        <v>26</v>
      </c>
      <c r="N77" t="s">
        <v>18</v>
      </c>
      <c r="O77">
        <v>5</v>
      </c>
      <c r="Q77" t="s">
        <v>12</v>
      </c>
      <c r="R77" t="str">
        <f t="shared" si="10"/>
        <v>1_95___01/20/2023_2023_MonMon_CRC_TR_RZ_Rz_5__Nutrients</v>
      </c>
    </row>
    <row r="78" spans="1:18" x14ac:dyDescent="0.25">
      <c r="A78">
        <v>1</v>
      </c>
      <c r="B78">
        <v>96</v>
      </c>
      <c r="E78" s="1">
        <v>44946</v>
      </c>
      <c r="F78" s="11">
        <f t="shared" si="9"/>
        <v>44946</v>
      </c>
      <c r="G78">
        <f t="shared" si="6"/>
        <v>2023</v>
      </c>
      <c r="H78">
        <f t="shared" si="7"/>
        <v>1</v>
      </c>
      <c r="I78">
        <f t="shared" si="8"/>
        <v>20</v>
      </c>
      <c r="J78" t="s">
        <v>10</v>
      </c>
      <c r="K78" t="s">
        <v>16</v>
      </c>
      <c r="L78" t="s">
        <v>14</v>
      </c>
      <c r="M78" t="s">
        <v>26</v>
      </c>
      <c r="N78" t="s">
        <v>18</v>
      </c>
      <c r="O78">
        <v>6</v>
      </c>
      <c r="Q78" t="s">
        <v>12</v>
      </c>
      <c r="R78" t="str">
        <f t="shared" si="10"/>
        <v>1_96___01/20/2023_2023_MonMon_CRC_TR_RZ_Rz_6__Nutrients</v>
      </c>
    </row>
    <row r="79" spans="1:18" x14ac:dyDescent="0.25">
      <c r="A79">
        <v>1</v>
      </c>
      <c r="B79">
        <v>97</v>
      </c>
      <c r="E79" s="1">
        <v>44946</v>
      </c>
      <c r="F79" s="11">
        <f t="shared" si="9"/>
        <v>44946</v>
      </c>
      <c r="G79">
        <f t="shared" si="6"/>
        <v>2023</v>
      </c>
      <c r="H79">
        <f t="shared" si="7"/>
        <v>1</v>
      </c>
      <c r="I79">
        <f t="shared" si="8"/>
        <v>20</v>
      </c>
      <c r="J79" t="s">
        <v>10</v>
      </c>
      <c r="K79" t="s">
        <v>16</v>
      </c>
      <c r="L79" t="s">
        <v>14</v>
      </c>
      <c r="M79" t="s">
        <v>26</v>
      </c>
      <c r="N79" t="s">
        <v>18</v>
      </c>
      <c r="O79">
        <v>7</v>
      </c>
      <c r="Q79" t="s">
        <v>12</v>
      </c>
      <c r="R79" t="str">
        <f t="shared" si="10"/>
        <v>1_97___01/20/2023_2023_MonMon_CRC_TR_RZ_Rz_7__Nutrients</v>
      </c>
    </row>
    <row r="80" spans="1:18" x14ac:dyDescent="0.25">
      <c r="A80">
        <v>2</v>
      </c>
      <c r="B80">
        <v>1</v>
      </c>
      <c r="E80" s="1">
        <v>44760</v>
      </c>
      <c r="F80" s="11">
        <f t="shared" si="9"/>
        <v>44760</v>
      </c>
      <c r="G80">
        <f t="shared" si="6"/>
        <v>2022</v>
      </c>
      <c r="H80">
        <f t="shared" si="7"/>
        <v>7</v>
      </c>
      <c r="I80">
        <f t="shared" si="8"/>
        <v>18</v>
      </c>
      <c r="J80" t="s">
        <v>10</v>
      </c>
      <c r="K80" t="s">
        <v>13</v>
      </c>
      <c r="L80" t="s">
        <v>17</v>
      </c>
      <c r="M80" t="s">
        <v>26</v>
      </c>
      <c r="N80" t="s">
        <v>18</v>
      </c>
      <c r="O80">
        <v>3</v>
      </c>
      <c r="Q80" t="s">
        <v>12</v>
      </c>
      <c r="R80" t="str">
        <f t="shared" si="10"/>
        <v>2_1___07/18/2022_2022_MonMon_PTR_UP_RZ_Rz_3__Nutrients</v>
      </c>
    </row>
    <row r="81" spans="1:18" x14ac:dyDescent="0.25">
      <c r="A81">
        <v>2</v>
      </c>
      <c r="B81">
        <v>2</v>
      </c>
      <c r="E81" s="1">
        <v>44760</v>
      </c>
      <c r="F81" s="11">
        <f t="shared" si="9"/>
        <v>44760</v>
      </c>
      <c r="G81">
        <f t="shared" si="6"/>
        <v>2022</v>
      </c>
      <c r="H81">
        <f t="shared" si="7"/>
        <v>7</v>
      </c>
      <c r="I81">
        <f t="shared" si="8"/>
        <v>18</v>
      </c>
      <c r="J81" t="s">
        <v>10</v>
      </c>
      <c r="K81" t="s">
        <v>13</v>
      </c>
      <c r="L81" t="s">
        <v>17</v>
      </c>
      <c r="M81" t="s">
        <v>26</v>
      </c>
      <c r="N81" t="s">
        <v>18</v>
      </c>
      <c r="O81">
        <v>3</v>
      </c>
      <c r="Q81" t="s">
        <v>12</v>
      </c>
      <c r="R81" t="str">
        <f t="shared" si="10"/>
        <v>2_2___07/18/2022_2022_MonMon_PTR_UP_RZ_Rz_3__Nutrients</v>
      </c>
    </row>
    <row r="82" spans="1:18" x14ac:dyDescent="0.25">
      <c r="A82">
        <v>2</v>
      </c>
      <c r="B82">
        <v>3</v>
      </c>
      <c r="E82" s="1">
        <v>44760</v>
      </c>
      <c r="F82" s="11">
        <f t="shared" si="9"/>
        <v>44760</v>
      </c>
      <c r="G82">
        <f t="shared" si="6"/>
        <v>2022</v>
      </c>
      <c r="H82">
        <f t="shared" si="7"/>
        <v>7</v>
      </c>
      <c r="I82">
        <f t="shared" si="8"/>
        <v>18</v>
      </c>
      <c r="J82" t="s">
        <v>10</v>
      </c>
      <c r="K82" t="s">
        <v>13</v>
      </c>
      <c r="L82" t="s">
        <v>17</v>
      </c>
      <c r="M82" t="s">
        <v>26</v>
      </c>
      <c r="N82" t="s">
        <v>18</v>
      </c>
      <c r="O82">
        <v>4</v>
      </c>
      <c r="Q82" t="s">
        <v>12</v>
      </c>
      <c r="R82" t="str">
        <f t="shared" si="10"/>
        <v>2_3___07/18/2022_2022_MonMon_PTR_UP_RZ_Rz_4__Nutrients</v>
      </c>
    </row>
    <row r="83" spans="1:18" x14ac:dyDescent="0.25">
      <c r="A83">
        <v>2</v>
      </c>
      <c r="B83">
        <v>4</v>
      </c>
      <c r="D83">
        <v>86</v>
      </c>
      <c r="E83" s="1">
        <v>44760</v>
      </c>
      <c r="F83" s="11">
        <f t="shared" si="9"/>
        <v>44760</v>
      </c>
      <c r="G83">
        <f t="shared" si="6"/>
        <v>2022</v>
      </c>
      <c r="H83">
        <f t="shared" si="7"/>
        <v>7</v>
      </c>
      <c r="I83">
        <f t="shared" si="8"/>
        <v>18</v>
      </c>
      <c r="J83" t="s">
        <v>10</v>
      </c>
      <c r="K83" t="s">
        <v>13</v>
      </c>
      <c r="L83" t="s">
        <v>17</v>
      </c>
      <c r="M83" t="s">
        <v>26</v>
      </c>
      <c r="N83" t="s">
        <v>18</v>
      </c>
      <c r="O83">
        <v>5</v>
      </c>
      <c r="Q83" t="s">
        <v>12</v>
      </c>
      <c r="R83" t="str">
        <f t="shared" si="10"/>
        <v>2_4__86_07/18/2022_2022_MonMon_PTR_UP_RZ_Rz_5__Nutrients</v>
      </c>
    </row>
    <row r="84" spans="1:18" x14ac:dyDescent="0.25">
      <c r="A84">
        <v>2</v>
      </c>
      <c r="B84">
        <v>5</v>
      </c>
      <c r="D84">
        <v>87</v>
      </c>
      <c r="E84" s="1">
        <v>44760</v>
      </c>
      <c r="F84" s="11">
        <f t="shared" si="9"/>
        <v>44760</v>
      </c>
      <c r="G84">
        <f t="shared" si="6"/>
        <v>2022</v>
      </c>
      <c r="H84">
        <f t="shared" si="7"/>
        <v>7</v>
      </c>
      <c r="I84">
        <f t="shared" si="8"/>
        <v>18</v>
      </c>
      <c r="J84" t="s">
        <v>10</v>
      </c>
      <c r="K84" t="s">
        <v>13</v>
      </c>
      <c r="L84" t="s">
        <v>17</v>
      </c>
      <c r="M84" t="s">
        <v>26</v>
      </c>
      <c r="N84" t="s">
        <v>18</v>
      </c>
      <c r="O84">
        <v>6</v>
      </c>
      <c r="Q84" t="s">
        <v>12</v>
      </c>
      <c r="R84" t="str">
        <f t="shared" si="10"/>
        <v>2_5__87_07/18/2022_2022_MonMon_PTR_UP_RZ_Rz_6__Nutrients</v>
      </c>
    </row>
    <row r="85" spans="1:18" x14ac:dyDescent="0.25">
      <c r="A85">
        <v>2</v>
      </c>
      <c r="B85">
        <v>6</v>
      </c>
      <c r="D85">
        <v>88</v>
      </c>
      <c r="E85" s="1">
        <v>44760</v>
      </c>
      <c r="F85" s="11">
        <f t="shared" si="9"/>
        <v>44760</v>
      </c>
      <c r="G85">
        <f t="shared" si="6"/>
        <v>2022</v>
      </c>
      <c r="H85">
        <f t="shared" si="7"/>
        <v>7</v>
      </c>
      <c r="I85">
        <f t="shared" si="8"/>
        <v>18</v>
      </c>
      <c r="J85" t="s">
        <v>10</v>
      </c>
      <c r="K85" t="s">
        <v>13</v>
      </c>
      <c r="L85" t="s">
        <v>17</v>
      </c>
      <c r="M85" t="s">
        <v>26</v>
      </c>
      <c r="N85" t="s">
        <v>18</v>
      </c>
      <c r="O85">
        <v>8</v>
      </c>
      <c r="Q85" t="s">
        <v>12</v>
      </c>
      <c r="R85" t="str">
        <f t="shared" si="10"/>
        <v>2_6__88_07/18/2022_2022_MonMon_PTR_UP_RZ_Rz_8__Nutrients</v>
      </c>
    </row>
    <row r="86" spans="1:18" x14ac:dyDescent="0.25">
      <c r="A86">
        <v>2</v>
      </c>
      <c r="B86">
        <v>11</v>
      </c>
      <c r="D86">
        <v>91</v>
      </c>
      <c r="E86" s="1">
        <v>44760</v>
      </c>
      <c r="F86" s="11">
        <f t="shared" si="9"/>
        <v>44760</v>
      </c>
      <c r="G86">
        <f t="shared" si="6"/>
        <v>2022</v>
      </c>
      <c r="H86">
        <f t="shared" si="7"/>
        <v>7</v>
      </c>
      <c r="I86">
        <f t="shared" si="8"/>
        <v>18</v>
      </c>
      <c r="J86" t="s">
        <v>10</v>
      </c>
      <c r="K86" t="s">
        <v>13</v>
      </c>
      <c r="L86" t="s">
        <v>14</v>
      </c>
      <c r="M86" t="s">
        <v>26</v>
      </c>
      <c r="N86" t="s">
        <v>18</v>
      </c>
      <c r="O86">
        <v>1</v>
      </c>
      <c r="Q86" t="s">
        <v>12</v>
      </c>
      <c r="R86" t="str">
        <f t="shared" si="10"/>
        <v>2_11__91_07/18/2022_2022_MonMon_PTR_TR_RZ_Rz_1__Nutrients</v>
      </c>
    </row>
    <row r="87" spans="1:18" x14ac:dyDescent="0.25">
      <c r="A87">
        <v>2</v>
      </c>
      <c r="B87">
        <v>12</v>
      </c>
      <c r="D87">
        <v>90</v>
      </c>
      <c r="E87" s="1">
        <v>44760</v>
      </c>
      <c r="F87" s="11">
        <f t="shared" si="9"/>
        <v>44760</v>
      </c>
      <c r="G87">
        <f t="shared" si="6"/>
        <v>2022</v>
      </c>
      <c r="H87">
        <f t="shared" si="7"/>
        <v>7</v>
      </c>
      <c r="I87">
        <f t="shared" si="8"/>
        <v>18</v>
      </c>
      <c r="J87" t="s">
        <v>10</v>
      </c>
      <c r="K87" t="s">
        <v>13</v>
      </c>
      <c r="L87" t="s">
        <v>14</v>
      </c>
      <c r="M87" t="s">
        <v>26</v>
      </c>
      <c r="N87" t="s">
        <v>18</v>
      </c>
      <c r="O87">
        <v>1</v>
      </c>
      <c r="Q87" t="s">
        <v>12</v>
      </c>
      <c r="R87" t="str">
        <f t="shared" si="10"/>
        <v>2_12__90_07/18/2022_2022_MonMon_PTR_TR_RZ_Rz_1__Nutrients</v>
      </c>
    </row>
    <row r="88" spans="1:18" x14ac:dyDescent="0.25">
      <c r="A88">
        <v>2</v>
      </c>
      <c r="B88">
        <v>13</v>
      </c>
      <c r="D88">
        <v>92</v>
      </c>
      <c r="E88" s="1">
        <v>44760</v>
      </c>
      <c r="F88" s="11">
        <f t="shared" si="9"/>
        <v>44760</v>
      </c>
      <c r="G88">
        <f t="shared" si="6"/>
        <v>2022</v>
      </c>
      <c r="H88">
        <f t="shared" si="7"/>
        <v>7</v>
      </c>
      <c r="I88">
        <f t="shared" si="8"/>
        <v>18</v>
      </c>
      <c r="J88" t="s">
        <v>10</v>
      </c>
      <c r="K88" t="s">
        <v>13</v>
      </c>
      <c r="L88" t="s">
        <v>14</v>
      </c>
      <c r="M88" t="s">
        <v>26</v>
      </c>
      <c r="N88" t="s">
        <v>18</v>
      </c>
      <c r="O88">
        <v>2</v>
      </c>
      <c r="Q88" t="s">
        <v>12</v>
      </c>
      <c r="R88" t="str">
        <f t="shared" si="10"/>
        <v>2_13__92_07/18/2022_2022_MonMon_PTR_TR_RZ_Rz_2__Nutrients</v>
      </c>
    </row>
    <row r="89" spans="1:18" x14ac:dyDescent="0.25">
      <c r="A89">
        <v>2</v>
      </c>
      <c r="B89">
        <v>14</v>
      </c>
      <c r="D89">
        <v>93</v>
      </c>
      <c r="E89" s="1">
        <v>44760</v>
      </c>
      <c r="F89" s="11">
        <f t="shared" si="9"/>
        <v>44760</v>
      </c>
      <c r="G89">
        <f t="shared" si="6"/>
        <v>2022</v>
      </c>
      <c r="H89">
        <f t="shared" si="7"/>
        <v>7</v>
      </c>
      <c r="I89">
        <f t="shared" si="8"/>
        <v>18</v>
      </c>
      <c r="J89" t="s">
        <v>10</v>
      </c>
      <c r="K89" t="s">
        <v>13</v>
      </c>
      <c r="L89" t="s">
        <v>14</v>
      </c>
      <c r="M89" t="s">
        <v>26</v>
      </c>
      <c r="N89" t="s">
        <v>18</v>
      </c>
      <c r="O89">
        <v>3</v>
      </c>
      <c r="Q89" t="s">
        <v>12</v>
      </c>
      <c r="R89" t="str">
        <f t="shared" si="10"/>
        <v>2_14__93_07/18/2022_2022_MonMon_PTR_TR_RZ_Rz_3__Nutrients</v>
      </c>
    </row>
    <row r="90" spans="1:18" x14ac:dyDescent="0.25">
      <c r="A90">
        <v>2</v>
      </c>
      <c r="B90">
        <v>15</v>
      </c>
      <c r="D90">
        <v>94</v>
      </c>
      <c r="E90" s="1">
        <v>44760</v>
      </c>
      <c r="F90" s="11">
        <f t="shared" si="9"/>
        <v>44760</v>
      </c>
      <c r="G90">
        <f t="shared" si="6"/>
        <v>2022</v>
      </c>
      <c r="H90">
        <f t="shared" si="7"/>
        <v>7</v>
      </c>
      <c r="I90">
        <f t="shared" si="8"/>
        <v>18</v>
      </c>
      <c r="J90" t="s">
        <v>10</v>
      </c>
      <c r="K90" t="s">
        <v>13</v>
      </c>
      <c r="L90" t="s">
        <v>14</v>
      </c>
      <c r="M90" t="s">
        <v>26</v>
      </c>
      <c r="N90" t="s">
        <v>18</v>
      </c>
      <c r="O90">
        <v>4</v>
      </c>
      <c r="Q90" t="s">
        <v>12</v>
      </c>
      <c r="R90" t="str">
        <f t="shared" si="10"/>
        <v>2_15__94_07/18/2022_2022_MonMon_PTR_TR_RZ_Rz_4__Nutrients</v>
      </c>
    </row>
    <row r="91" spans="1:18" x14ac:dyDescent="0.25">
      <c r="A91">
        <v>2</v>
      </c>
      <c r="B91">
        <v>16</v>
      </c>
      <c r="D91">
        <v>95</v>
      </c>
      <c r="E91" s="1">
        <v>44760</v>
      </c>
      <c r="F91" s="11">
        <f t="shared" si="9"/>
        <v>44760</v>
      </c>
      <c r="G91">
        <f t="shared" si="6"/>
        <v>2022</v>
      </c>
      <c r="H91">
        <f t="shared" si="7"/>
        <v>7</v>
      </c>
      <c r="I91">
        <f t="shared" si="8"/>
        <v>18</v>
      </c>
      <c r="J91" t="s">
        <v>10</v>
      </c>
      <c r="K91" t="s">
        <v>13</v>
      </c>
      <c r="L91" t="s">
        <v>14</v>
      </c>
      <c r="M91" t="s">
        <v>26</v>
      </c>
      <c r="N91" t="s">
        <v>18</v>
      </c>
      <c r="O91">
        <v>5</v>
      </c>
      <c r="Q91" t="s">
        <v>12</v>
      </c>
      <c r="R91" t="str">
        <f t="shared" si="10"/>
        <v>2_16__95_07/18/2022_2022_MonMon_PTR_TR_RZ_Rz_5__Nutrients</v>
      </c>
    </row>
    <row r="92" spans="1:18" x14ac:dyDescent="0.25">
      <c r="A92">
        <v>2</v>
      </c>
      <c r="B92">
        <v>17</v>
      </c>
      <c r="D92">
        <v>96</v>
      </c>
      <c r="E92" s="1">
        <v>44760</v>
      </c>
      <c r="F92" s="11">
        <f t="shared" si="9"/>
        <v>44760</v>
      </c>
      <c r="G92">
        <f t="shared" si="6"/>
        <v>2022</v>
      </c>
      <c r="H92">
        <f t="shared" si="7"/>
        <v>7</v>
      </c>
      <c r="I92">
        <f t="shared" si="8"/>
        <v>18</v>
      </c>
      <c r="J92" t="s">
        <v>10</v>
      </c>
      <c r="K92" t="s">
        <v>13</v>
      </c>
      <c r="L92" t="s">
        <v>14</v>
      </c>
      <c r="M92" t="s">
        <v>26</v>
      </c>
      <c r="N92" t="s">
        <v>18</v>
      </c>
      <c r="O92">
        <v>8</v>
      </c>
      <c r="Q92" t="s">
        <v>12</v>
      </c>
      <c r="R92" t="str">
        <f t="shared" si="10"/>
        <v>2_17__96_07/18/2022_2022_MonMon_PTR_TR_RZ_Rz_8__Nutrients</v>
      </c>
    </row>
    <row r="93" spans="1:18" x14ac:dyDescent="0.25">
      <c r="A93">
        <v>2</v>
      </c>
      <c r="B93">
        <v>18</v>
      </c>
      <c r="D93">
        <v>89</v>
      </c>
      <c r="E93" s="1">
        <v>44761</v>
      </c>
      <c r="F93" s="11">
        <f t="shared" si="9"/>
        <v>44761</v>
      </c>
      <c r="G93">
        <f t="shared" si="6"/>
        <v>2022</v>
      </c>
      <c r="H93">
        <f t="shared" si="7"/>
        <v>7</v>
      </c>
      <c r="I93">
        <f t="shared" si="8"/>
        <v>19</v>
      </c>
      <c r="J93" t="s">
        <v>10</v>
      </c>
      <c r="K93" t="s">
        <v>13</v>
      </c>
      <c r="L93" t="s">
        <v>14</v>
      </c>
      <c r="M93" t="s">
        <v>26</v>
      </c>
      <c r="N93" t="s">
        <v>18</v>
      </c>
      <c r="O93">
        <v>8</v>
      </c>
      <c r="Q93" t="s">
        <v>12</v>
      </c>
      <c r="R93" t="str">
        <f t="shared" si="10"/>
        <v>2_18__89_07/19/2022_2022_MonMon_PTR_TR_RZ_Rz_8__Nutrients</v>
      </c>
    </row>
    <row r="94" spans="1:18" x14ac:dyDescent="0.25">
      <c r="A94">
        <v>2</v>
      </c>
      <c r="B94">
        <v>21</v>
      </c>
      <c r="D94">
        <v>97</v>
      </c>
      <c r="E94" s="1">
        <v>44763</v>
      </c>
      <c r="F94" s="11">
        <f t="shared" si="9"/>
        <v>44763</v>
      </c>
      <c r="G94">
        <f t="shared" si="6"/>
        <v>2022</v>
      </c>
      <c r="H94">
        <f t="shared" si="7"/>
        <v>7</v>
      </c>
      <c r="I94">
        <f t="shared" si="8"/>
        <v>21</v>
      </c>
      <c r="J94" t="s">
        <v>10</v>
      </c>
      <c r="K94" t="s">
        <v>8</v>
      </c>
      <c r="L94" t="s">
        <v>17</v>
      </c>
      <c r="M94" t="s">
        <v>26</v>
      </c>
      <c r="N94" t="s">
        <v>18</v>
      </c>
      <c r="O94">
        <v>6</v>
      </c>
      <c r="Q94" t="s">
        <v>12</v>
      </c>
      <c r="R94" t="str">
        <f t="shared" si="10"/>
        <v>2_21__97_07/21/2022_2022_MonMon_OWC_UP_RZ_Rz_6__Nutrients</v>
      </c>
    </row>
    <row r="95" spans="1:18" x14ac:dyDescent="0.25">
      <c r="A95">
        <v>2</v>
      </c>
      <c r="B95">
        <v>22</v>
      </c>
      <c r="D95">
        <v>98</v>
      </c>
      <c r="E95" s="1">
        <v>44763</v>
      </c>
      <c r="F95" s="11">
        <f t="shared" si="9"/>
        <v>44763</v>
      </c>
      <c r="G95">
        <f t="shared" si="6"/>
        <v>2022</v>
      </c>
      <c r="H95">
        <f t="shared" si="7"/>
        <v>7</v>
      </c>
      <c r="I95">
        <f t="shared" si="8"/>
        <v>21</v>
      </c>
      <c r="J95" t="s">
        <v>10</v>
      </c>
      <c r="K95" t="s">
        <v>8</v>
      </c>
      <c r="L95" t="s">
        <v>17</v>
      </c>
      <c r="M95" t="s">
        <v>26</v>
      </c>
      <c r="N95" t="s">
        <v>18</v>
      </c>
      <c r="O95">
        <v>7</v>
      </c>
      <c r="Q95" t="s">
        <v>12</v>
      </c>
      <c r="R95" t="str">
        <f t="shared" si="10"/>
        <v>2_22__98_07/21/2022_2022_MonMon_OWC_UP_RZ_Rz_7__Nutrients</v>
      </c>
    </row>
    <row r="96" spans="1:18" x14ac:dyDescent="0.25">
      <c r="A96">
        <v>2</v>
      </c>
      <c r="B96">
        <v>23</v>
      </c>
      <c r="D96">
        <v>99</v>
      </c>
      <c r="E96" s="1">
        <v>44763</v>
      </c>
      <c r="F96" s="11">
        <f t="shared" si="9"/>
        <v>44763</v>
      </c>
      <c r="G96">
        <f t="shared" si="6"/>
        <v>2022</v>
      </c>
      <c r="H96">
        <f t="shared" si="7"/>
        <v>7</v>
      </c>
      <c r="I96">
        <f t="shared" si="8"/>
        <v>21</v>
      </c>
      <c r="J96" t="s">
        <v>10</v>
      </c>
      <c r="K96" t="s">
        <v>8</v>
      </c>
      <c r="L96" t="s">
        <v>14</v>
      </c>
      <c r="M96" t="s">
        <v>26</v>
      </c>
      <c r="N96" t="s">
        <v>18</v>
      </c>
      <c r="O96">
        <v>2</v>
      </c>
      <c r="Q96" t="s">
        <v>12</v>
      </c>
      <c r="R96" t="str">
        <f t="shared" si="10"/>
        <v>2_23__99_07/21/2022_2022_MonMon_OWC_TR_RZ_Rz_2__Nutrients</v>
      </c>
    </row>
    <row r="97" spans="1:18" x14ac:dyDescent="0.25">
      <c r="A97">
        <v>2</v>
      </c>
      <c r="B97">
        <v>24</v>
      </c>
      <c r="D97">
        <v>100</v>
      </c>
      <c r="E97" s="1">
        <v>44763</v>
      </c>
      <c r="F97" s="11">
        <f t="shared" si="9"/>
        <v>44763</v>
      </c>
      <c r="G97">
        <f t="shared" si="6"/>
        <v>2022</v>
      </c>
      <c r="H97">
        <f t="shared" si="7"/>
        <v>7</v>
      </c>
      <c r="I97">
        <f t="shared" si="8"/>
        <v>21</v>
      </c>
      <c r="J97" t="s">
        <v>10</v>
      </c>
      <c r="K97" t="s">
        <v>8</v>
      </c>
      <c r="L97" t="s">
        <v>14</v>
      </c>
      <c r="M97" t="s">
        <v>26</v>
      </c>
      <c r="N97" t="s">
        <v>18</v>
      </c>
      <c r="O97">
        <v>5</v>
      </c>
      <c r="Q97" t="s">
        <v>12</v>
      </c>
      <c r="R97" t="str">
        <f t="shared" si="10"/>
        <v>2_24__100_07/21/2022_2022_MonMon_OWC_TR_RZ_Rz_5__Nutrients</v>
      </c>
    </row>
    <row r="98" spans="1:18" x14ac:dyDescent="0.25">
      <c r="A98">
        <v>2</v>
      </c>
      <c r="B98">
        <v>25</v>
      </c>
      <c r="D98">
        <v>101</v>
      </c>
      <c r="E98" s="1">
        <v>44763</v>
      </c>
      <c r="F98" s="11">
        <f t="shared" si="9"/>
        <v>44763</v>
      </c>
      <c r="G98">
        <f t="shared" si="6"/>
        <v>2022</v>
      </c>
      <c r="H98">
        <f t="shared" si="7"/>
        <v>7</v>
      </c>
      <c r="I98">
        <f t="shared" ref="I98:I111" si="11">DAY(E98)</f>
        <v>21</v>
      </c>
      <c r="J98" t="s">
        <v>10</v>
      </c>
      <c r="K98" t="s">
        <v>8</v>
      </c>
      <c r="L98" t="s">
        <v>14</v>
      </c>
      <c r="M98" t="s">
        <v>26</v>
      </c>
      <c r="N98" t="s">
        <v>18</v>
      </c>
      <c r="O98">
        <v>7</v>
      </c>
      <c r="Q98" t="s">
        <v>12</v>
      </c>
      <c r="R98" t="str">
        <f t="shared" si="10"/>
        <v>2_25__101_07/21/2022_2022_MonMon_OWC_TR_RZ_Rz_7__Nutrients</v>
      </c>
    </row>
    <row r="99" spans="1:18" x14ac:dyDescent="0.25">
      <c r="A99">
        <v>2</v>
      </c>
      <c r="B99">
        <v>26</v>
      </c>
      <c r="D99">
        <v>102</v>
      </c>
      <c r="E99" s="1">
        <v>44763</v>
      </c>
      <c r="F99" s="11">
        <f t="shared" si="9"/>
        <v>44763</v>
      </c>
      <c r="G99">
        <f t="shared" si="6"/>
        <v>2022</v>
      </c>
      <c r="H99">
        <f t="shared" si="7"/>
        <v>7</v>
      </c>
      <c r="I99">
        <f t="shared" si="11"/>
        <v>21</v>
      </c>
      <c r="J99" t="s">
        <v>10</v>
      </c>
      <c r="K99" t="s">
        <v>8</v>
      </c>
      <c r="L99" t="s">
        <v>14</v>
      </c>
      <c r="M99" t="s">
        <v>26</v>
      </c>
      <c r="N99" t="s">
        <v>18</v>
      </c>
      <c r="O99">
        <v>8</v>
      </c>
      <c r="Q99" t="s">
        <v>12</v>
      </c>
      <c r="R99" t="str">
        <f t="shared" si="10"/>
        <v>2_26__102_07/21/2022_2022_MonMon_OWC_TR_RZ_Rz_8__Nutrients</v>
      </c>
    </row>
    <row r="100" spans="1:18" x14ac:dyDescent="0.25">
      <c r="A100">
        <v>2</v>
      </c>
      <c r="B100">
        <v>27</v>
      </c>
      <c r="D100">
        <v>103</v>
      </c>
      <c r="E100" s="1">
        <v>44763</v>
      </c>
      <c r="F100" s="11">
        <f t="shared" si="9"/>
        <v>44763</v>
      </c>
      <c r="G100">
        <f t="shared" si="6"/>
        <v>2022</v>
      </c>
      <c r="H100">
        <f t="shared" si="7"/>
        <v>7</v>
      </c>
      <c r="I100">
        <f t="shared" si="11"/>
        <v>21</v>
      </c>
      <c r="K100" t="s">
        <v>8</v>
      </c>
      <c r="M100" t="s">
        <v>26</v>
      </c>
      <c r="N100" t="s">
        <v>18</v>
      </c>
      <c r="Q100" t="s">
        <v>12</v>
      </c>
      <c r="R100" t="str">
        <f t="shared" si="10"/>
        <v>2_27__103_07/21/2022_2022__OWC__RZ_Rz___Nutrients</v>
      </c>
    </row>
    <row r="101" spans="1:18" x14ac:dyDescent="0.25">
      <c r="A101">
        <v>2</v>
      </c>
      <c r="B101">
        <v>28</v>
      </c>
      <c r="D101">
        <v>104</v>
      </c>
      <c r="E101" s="1">
        <v>44763</v>
      </c>
      <c r="F101" s="11">
        <f t="shared" si="9"/>
        <v>44763</v>
      </c>
      <c r="G101">
        <f t="shared" si="6"/>
        <v>2022</v>
      </c>
      <c r="H101">
        <f t="shared" si="7"/>
        <v>7</v>
      </c>
      <c r="I101">
        <f t="shared" si="11"/>
        <v>21</v>
      </c>
      <c r="K101" t="s">
        <v>8</v>
      </c>
      <c r="M101" t="s">
        <v>26</v>
      </c>
      <c r="N101" t="s">
        <v>18</v>
      </c>
      <c r="Q101" t="s">
        <v>12</v>
      </c>
      <c r="R101" t="str">
        <f t="shared" si="10"/>
        <v>2_28__104_07/21/2022_2022__OWC__RZ_Rz___Nutrients</v>
      </c>
    </row>
    <row r="102" spans="1:18" x14ac:dyDescent="0.25">
      <c r="A102">
        <v>2</v>
      </c>
      <c r="B102">
        <v>31</v>
      </c>
      <c r="D102">
        <v>105</v>
      </c>
      <c r="E102" s="1">
        <v>44762</v>
      </c>
      <c r="F102" s="11">
        <f t="shared" si="9"/>
        <v>44762</v>
      </c>
      <c r="G102">
        <f t="shared" si="6"/>
        <v>2022</v>
      </c>
      <c r="H102">
        <f t="shared" si="7"/>
        <v>7</v>
      </c>
      <c r="I102">
        <f t="shared" si="11"/>
        <v>20</v>
      </c>
      <c r="J102" t="s">
        <v>10</v>
      </c>
      <c r="K102" t="s">
        <v>16</v>
      </c>
      <c r="L102" t="s">
        <v>17</v>
      </c>
      <c r="M102" t="s">
        <v>26</v>
      </c>
      <c r="N102" t="s">
        <v>18</v>
      </c>
      <c r="O102">
        <v>1</v>
      </c>
      <c r="Q102" t="s">
        <v>12</v>
      </c>
      <c r="R102" t="str">
        <f t="shared" si="10"/>
        <v>2_31__105_07/20/2022_2022_MonMon_CRC_UP_RZ_Rz_1__Nutrients</v>
      </c>
    </row>
    <row r="103" spans="1:18" x14ac:dyDescent="0.25">
      <c r="A103">
        <v>2</v>
      </c>
      <c r="B103">
        <v>32</v>
      </c>
      <c r="D103">
        <v>106</v>
      </c>
      <c r="E103" s="1">
        <v>44762</v>
      </c>
      <c r="F103" s="11">
        <f t="shared" si="9"/>
        <v>44762</v>
      </c>
      <c r="G103">
        <f t="shared" si="6"/>
        <v>2022</v>
      </c>
      <c r="H103">
        <f t="shared" si="7"/>
        <v>7</v>
      </c>
      <c r="I103">
        <f t="shared" si="11"/>
        <v>20</v>
      </c>
      <c r="J103" t="s">
        <v>10</v>
      </c>
      <c r="K103" t="s">
        <v>16</v>
      </c>
      <c r="L103" t="s">
        <v>17</v>
      </c>
      <c r="M103" t="s">
        <v>26</v>
      </c>
      <c r="N103" t="s">
        <v>18</v>
      </c>
      <c r="O103">
        <v>2</v>
      </c>
      <c r="Q103" t="s">
        <v>12</v>
      </c>
      <c r="R103" t="str">
        <f t="shared" si="10"/>
        <v>2_32__106_07/20/2022_2022_MonMon_CRC_UP_RZ_Rz_2__Nutrients</v>
      </c>
    </row>
    <row r="104" spans="1:18" x14ac:dyDescent="0.25">
      <c r="A104">
        <v>2</v>
      </c>
      <c r="B104">
        <v>33</v>
      </c>
      <c r="D104">
        <v>107</v>
      </c>
      <c r="E104" s="1">
        <v>44762</v>
      </c>
      <c r="F104" s="11">
        <f t="shared" si="9"/>
        <v>44762</v>
      </c>
      <c r="G104">
        <f t="shared" si="6"/>
        <v>2022</v>
      </c>
      <c r="H104">
        <f t="shared" si="7"/>
        <v>7</v>
      </c>
      <c r="I104">
        <f t="shared" si="11"/>
        <v>20</v>
      </c>
      <c r="J104" t="s">
        <v>10</v>
      </c>
      <c r="K104" t="s">
        <v>16</v>
      </c>
      <c r="L104" t="s">
        <v>17</v>
      </c>
      <c r="M104" t="s">
        <v>26</v>
      </c>
      <c r="N104" t="s">
        <v>18</v>
      </c>
      <c r="O104">
        <v>2</v>
      </c>
      <c r="Q104" t="s">
        <v>12</v>
      </c>
      <c r="R104" t="str">
        <f t="shared" si="10"/>
        <v>2_33__107_07/20/2022_2022_MonMon_CRC_UP_RZ_Rz_2__Nutrients</v>
      </c>
    </row>
    <row r="105" spans="1:18" x14ac:dyDescent="0.25">
      <c r="A105">
        <v>2</v>
      </c>
      <c r="B105">
        <v>34</v>
      </c>
      <c r="D105">
        <v>108</v>
      </c>
      <c r="E105" s="1">
        <v>44762</v>
      </c>
      <c r="F105" s="11">
        <f t="shared" si="9"/>
        <v>44762</v>
      </c>
      <c r="G105">
        <f t="shared" si="6"/>
        <v>2022</v>
      </c>
      <c r="H105">
        <f t="shared" si="7"/>
        <v>7</v>
      </c>
      <c r="I105">
        <f t="shared" si="11"/>
        <v>20</v>
      </c>
      <c r="J105" t="s">
        <v>10</v>
      </c>
      <c r="K105" t="s">
        <v>16</v>
      </c>
      <c r="L105" t="s">
        <v>17</v>
      </c>
      <c r="M105" t="s">
        <v>26</v>
      </c>
      <c r="N105" t="s">
        <v>18</v>
      </c>
      <c r="O105">
        <v>3</v>
      </c>
      <c r="Q105" t="s">
        <v>12</v>
      </c>
      <c r="R105" t="str">
        <f t="shared" si="10"/>
        <v>2_34__108_07/20/2022_2022_MonMon_CRC_UP_RZ_Rz_3__Nutrients</v>
      </c>
    </row>
    <row r="106" spans="1:18" x14ac:dyDescent="0.25">
      <c r="A106">
        <v>2</v>
      </c>
      <c r="B106">
        <v>35</v>
      </c>
      <c r="D106">
        <v>109</v>
      </c>
      <c r="E106" s="1">
        <v>44762</v>
      </c>
      <c r="F106" s="11">
        <f t="shared" si="9"/>
        <v>44762</v>
      </c>
      <c r="G106">
        <f t="shared" si="6"/>
        <v>2022</v>
      </c>
      <c r="H106">
        <f t="shared" si="7"/>
        <v>7</v>
      </c>
      <c r="I106">
        <f t="shared" si="11"/>
        <v>20</v>
      </c>
      <c r="J106" t="s">
        <v>10</v>
      </c>
      <c r="K106" t="s">
        <v>16</v>
      </c>
      <c r="L106" t="s">
        <v>17</v>
      </c>
      <c r="M106" t="s">
        <v>26</v>
      </c>
      <c r="N106" t="s">
        <v>18</v>
      </c>
      <c r="O106">
        <v>4</v>
      </c>
      <c r="Q106" t="s">
        <v>12</v>
      </c>
      <c r="R106" t="str">
        <f t="shared" si="10"/>
        <v>2_35__109_07/20/2022_2022_MonMon_CRC_UP_RZ_Rz_4__Nutrients</v>
      </c>
    </row>
    <row r="107" spans="1:18" x14ac:dyDescent="0.25">
      <c r="A107">
        <v>2</v>
      </c>
      <c r="B107">
        <v>36</v>
      </c>
      <c r="D107">
        <v>110</v>
      </c>
      <c r="E107" s="1">
        <v>44762</v>
      </c>
      <c r="F107" s="11">
        <f t="shared" si="9"/>
        <v>44762</v>
      </c>
      <c r="G107">
        <f t="shared" si="6"/>
        <v>2022</v>
      </c>
      <c r="H107">
        <f t="shared" si="7"/>
        <v>7</v>
      </c>
      <c r="I107">
        <f t="shared" si="11"/>
        <v>20</v>
      </c>
      <c r="J107" t="s">
        <v>10</v>
      </c>
      <c r="K107" t="s">
        <v>16</v>
      </c>
      <c r="L107" t="s">
        <v>17</v>
      </c>
      <c r="M107" t="s">
        <v>26</v>
      </c>
      <c r="N107" t="s">
        <v>18</v>
      </c>
      <c r="O107">
        <v>5</v>
      </c>
      <c r="Q107" t="s">
        <v>12</v>
      </c>
      <c r="R107" t="str">
        <f t="shared" si="10"/>
        <v>2_36__110_07/20/2022_2022_MonMon_CRC_UP_RZ_Rz_5__Nutrients</v>
      </c>
    </row>
    <row r="108" spans="1:18" x14ac:dyDescent="0.25">
      <c r="A108">
        <v>2</v>
      </c>
      <c r="B108">
        <v>37</v>
      </c>
      <c r="D108">
        <v>111</v>
      </c>
      <c r="E108" s="1">
        <v>44762</v>
      </c>
      <c r="F108" s="11">
        <f t="shared" si="9"/>
        <v>44762</v>
      </c>
      <c r="G108">
        <f t="shared" si="6"/>
        <v>2022</v>
      </c>
      <c r="H108">
        <f t="shared" si="7"/>
        <v>7</v>
      </c>
      <c r="I108">
        <f t="shared" si="11"/>
        <v>20</v>
      </c>
      <c r="J108" t="s">
        <v>10</v>
      </c>
      <c r="K108" t="s">
        <v>16</v>
      </c>
      <c r="L108" t="s">
        <v>17</v>
      </c>
      <c r="M108" t="s">
        <v>26</v>
      </c>
      <c r="N108" t="s">
        <v>18</v>
      </c>
      <c r="O108">
        <v>6</v>
      </c>
      <c r="Q108" t="s">
        <v>12</v>
      </c>
      <c r="R108" t="str">
        <f t="shared" si="10"/>
        <v>2_37__111_07/20/2022_2022_MonMon_CRC_UP_RZ_Rz_6__Nutrients</v>
      </c>
    </row>
    <row r="109" spans="1:18" x14ac:dyDescent="0.25">
      <c r="A109">
        <v>2</v>
      </c>
      <c r="B109">
        <v>38</v>
      </c>
      <c r="D109">
        <v>112</v>
      </c>
      <c r="E109" s="1">
        <v>44762</v>
      </c>
      <c r="F109" s="11">
        <f t="shared" si="9"/>
        <v>44762</v>
      </c>
      <c r="G109">
        <f t="shared" si="6"/>
        <v>2022</v>
      </c>
      <c r="H109">
        <f t="shared" si="7"/>
        <v>7</v>
      </c>
      <c r="I109">
        <f t="shared" si="11"/>
        <v>20</v>
      </c>
      <c r="J109" t="s">
        <v>10</v>
      </c>
      <c r="K109" t="s">
        <v>16</v>
      </c>
      <c r="L109" t="s">
        <v>17</v>
      </c>
      <c r="M109" t="s">
        <v>26</v>
      </c>
      <c r="N109" t="s">
        <v>18</v>
      </c>
      <c r="O109">
        <v>7</v>
      </c>
      <c r="Q109" t="s">
        <v>12</v>
      </c>
      <c r="R109" t="str">
        <f t="shared" si="10"/>
        <v>2_38__112_07/20/2022_2022_MonMon_CRC_UP_RZ_Rz_7__Nutrients</v>
      </c>
    </row>
    <row r="110" spans="1:18" x14ac:dyDescent="0.25">
      <c r="A110">
        <v>2</v>
      </c>
      <c r="B110">
        <v>39</v>
      </c>
      <c r="D110">
        <v>121</v>
      </c>
      <c r="E110" s="1">
        <v>44762</v>
      </c>
      <c r="F110" s="11">
        <f t="shared" si="9"/>
        <v>44762</v>
      </c>
      <c r="G110">
        <f t="shared" si="6"/>
        <v>2022</v>
      </c>
      <c r="H110">
        <f t="shared" si="7"/>
        <v>7</v>
      </c>
      <c r="I110">
        <f t="shared" si="11"/>
        <v>20</v>
      </c>
      <c r="J110" t="s">
        <v>10</v>
      </c>
      <c r="K110" t="s">
        <v>16</v>
      </c>
      <c r="L110" t="s">
        <v>17</v>
      </c>
      <c r="M110" t="s">
        <v>26</v>
      </c>
      <c r="N110" t="s">
        <v>18</v>
      </c>
      <c r="O110">
        <v>8</v>
      </c>
      <c r="Q110" t="s">
        <v>12</v>
      </c>
      <c r="R110" t="str">
        <f t="shared" si="10"/>
        <v>2_39__121_07/20/2022_2022_MonMon_CRC_UP_RZ_Rz_8__Nutrients</v>
      </c>
    </row>
    <row r="111" spans="1:18" x14ac:dyDescent="0.25">
      <c r="A111">
        <v>2</v>
      </c>
      <c r="B111">
        <v>40</v>
      </c>
      <c r="D111">
        <v>122</v>
      </c>
      <c r="E111" s="1">
        <v>44762</v>
      </c>
      <c r="F111" s="11">
        <f t="shared" si="9"/>
        <v>44762</v>
      </c>
      <c r="G111">
        <f t="shared" si="6"/>
        <v>2022</v>
      </c>
      <c r="H111">
        <f t="shared" si="7"/>
        <v>7</v>
      </c>
      <c r="I111">
        <f t="shared" si="11"/>
        <v>20</v>
      </c>
      <c r="J111" t="s">
        <v>10</v>
      </c>
      <c r="K111" t="s">
        <v>16</v>
      </c>
      <c r="L111" t="s">
        <v>17</v>
      </c>
      <c r="M111" t="s">
        <v>26</v>
      </c>
      <c r="N111" t="s">
        <v>18</v>
      </c>
      <c r="O111">
        <v>8</v>
      </c>
      <c r="Q111" t="s">
        <v>12</v>
      </c>
      <c r="R111" t="str">
        <f t="shared" si="10"/>
        <v>2_40__122_07/20/2022_2022_MonMon_CRC_UP_RZ_Rz_8__Nutrients</v>
      </c>
    </row>
    <row r="112" spans="1:18" x14ac:dyDescent="0.25">
      <c r="A112">
        <v>2</v>
      </c>
      <c r="B112">
        <v>41</v>
      </c>
      <c r="D112">
        <v>113</v>
      </c>
      <c r="E112" s="1">
        <v>44763</v>
      </c>
      <c r="F112" s="11">
        <f t="shared" si="9"/>
        <v>44763</v>
      </c>
      <c r="G112">
        <f t="shared" si="6"/>
        <v>2022</v>
      </c>
      <c r="H112">
        <f t="shared" si="7"/>
        <v>7</v>
      </c>
      <c r="I112">
        <v>20</v>
      </c>
      <c r="J112" t="s">
        <v>10</v>
      </c>
      <c r="K112" t="s">
        <v>16</v>
      </c>
      <c r="L112" t="s">
        <v>14</v>
      </c>
      <c r="M112" t="s">
        <v>26</v>
      </c>
      <c r="N112" t="s">
        <v>18</v>
      </c>
      <c r="O112">
        <v>1</v>
      </c>
      <c r="Q112" t="s">
        <v>12</v>
      </c>
      <c r="R112" t="str">
        <f t="shared" si="10"/>
        <v>2_41__113_07/21/2022_2022_MonMon_CRC_TR_RZ_Rz_1__Nutrients</v>
      </c>
    </row>
    <row r="113" spans="1:18" x14ac:dyDescent="0.25">
      <c r="A113">
        <v>2</v>
      </c>
      <c r="B113">
        <v>42</v>
      </c>
      <c r="D113">
        <v>114</v>
      </c>
      <c r="E113" s="1">
        <v>44764</v>
      </c>
      <c r="F113" s="11">
        <f t="shared" si="9"/>
        <v>44764</v>
      </c>
      <c r="G113">
        <f t="shared" si="6"/>
        <v>2022</v>
      </c>
      <c r="H113">
        <f t="shared" si="7"/>
        <v>7</v>
      </c>
      <c r="I113">
        <v>20</v>
      </c>
      <c r="J113" t="s">
        <v>10</v>
      </c>
      <c r="K113" t="s">
        <v>16</v>
      </c>
      <c r="L113" t="s">
        <v>14</v>
      </c>
      <c r="M113" t="s">
        <v>26</v>
      </c>
      <c r="N113" t="s">
        <v>18</v>
      </c>
      <c r="O113">
        <v>2</v>
      </c>
      <c r="Q113" t="s">
        <v>12</v>
      </c>
      <c r="R113" t="str">
        <f t="shared" si="10"/>
        <v>2_42__114_07/22/2022_2022_MonMon_CRC_TR_RZ_Rz_2__Nutrients</v>
      </c>
    </row>
    <row r="114" spans="1:18" x14ac:dyDescent="0.25">
      <c r="A114">
        <v>2</v>
      </c>
      <c r="B114">
        <v>43</v>
      </c>
      <c r="D114">
        <v>115</v>
      </c>
      <c r="E114" s="1">
        <v>44765</v>
      </c>
      <c r="F114" s="11">
        <f t="shared" si="9"/>
        <v>44765</v>
      </c>
      <c r="G114">
        <f t="shared" si="6"/>
        <v>2022</v>
      </c>
      <c r="H114">
        <f t="shared" si="7"/>
        <v>7</v>
      </c>
      <c r="I114">
        <v>20</v>
      </c>
      <c r="J114" t="s">
        <v>10</v>
      </c>
      <c r="K114" t="s">
        <v>16</v>
      </c>
      <c r="L114" t="s">
        <v>14</v>
      </c>
      <c r="M114" t="s">
        <v>26</v>
      </c>
      <c r="N114" t="s">
        <v>18</v>
      </c>
      <c r="O114">
        <v>3</v>
      </c>
      <c r="Q114" t="s">
        <v>12</v>
      </c>
      <c r="R114" t="str">
        <f t="shared" si="10"/>
        <v>2_43__115_07/23/2022_2022_MonMon_CRC_TR_RZ_Rz_3__Nutrients</v>
      </c>
    </row>
    <row r="115" spans="1:18" x14ac:dyDescent="0.25">
      <c r="A115">
        <v>2</v>
      </c>
      <c r="B115">
        <v>44</v>
      </c>
      <c r="D115">
        <v>116</v>
      </c>
      <c r="E115" s="1">
        <v>44766</v>
      </c>
      <c r="F115" s="11">
        <f t="shared" si="9"/>
        <v>44766</v>
      </c>
      <c r="G115">
        <f t="shared" si="6"/>
        <v>2022</v>
      </c>
      <c r="H115">
        <f t="shared" si="7"/>
        <v>7</v>
      </c>
      <c r="I115">
        <v>20</v>
      </c>
      <c r="J115" t="s">
        <v>10</v>
      </c>
      <c r="K115" t="s">
        <v>16</v>
      </c>
      <c r="L115" t="s">
        <v>14</v>
      </c>
      <c r="M115" t="s">
        <v>26</v>
      </c>
      <c r="N115" t="s">
        <v>18</v>
      </c>
      <c r="O115">
        <v>4</v>
      </c>
      <c r="Q115" t="s">
        <v>12</v>
      </c>
      <c r="R115" t="str">
        <f t="shared" si="10"/>
        <v>2_44__116_07/24/2022_2022_MonMon_CRC_TR_RZ_Rz_4__Nutrients</v>
      </c>
    </row>
    <row r="116" spans="1:18" x14ac:dyDescent="0.25">
      <c r="A116">
        <v>2</v>
      </c>
      <c r="B116">
        <v>45</v>
      </c>
      <c r="D116">
        <v>117</v>
      </c>
      <c r="E116" s="1">
        <v>44767</v>
      </c>
      <c r="F116" s="11">
        <f t="shared" si="9"/>
        <v>44767</v>
      </c>
      <c r="G116">
        <f t="shared" si="6"/>
        <v>2022</v>
      </c>
      <c r="H116">
        <f t="shared" si="7"/>
        <v>7</v>
      </c>
      <c r="I116">
        <v>20</v>
      </c>
      <c r="J116" t="s">
        <v>10</v>
      </c>
      <c r="K116" t="s">
        <v>16</v>
      </c>
      <c r="L116" t="s">
        <v>14</v>
      </c>
      <c r="M116" t="s">
        <v>26</v>
      </c>
      <c r="N116" t="s">
        <v>18</v>
      </c>
      <c r="O116">
        <v>5</v>
      </c>
      <c r="Q116" t="s">
        <v>12</v>
      </c>
      <c r="R116" t="str">
        <f t="shared" si="10"/>
        <v>2_45__117_07/25/2022_2022_MonMon_CRC_TR_RZ_Rz_5__Nutrients</v>
      </c>
    </row>
    <row r="117" spans="1:18" x14ac:dyDescent="0.25">
      <c r="A117">
        <v>2</v>
      </c>
      <c r="B117">
        <v>46</v>
      </c>
      <c r="D117">
        <v>118</v>
      </c>
      <c r="E117" s="1">
        <v>44768</v>
      </c>
      <c r="F117" s="11">
        <f t="shared" si="9"/>
        <v>44768</v>
      </c>
      <c r="G117">
        <f t="shared" si="6"/>
        <v>2022</v>
      </c>
      <c r="H117">
        <f t="shared" si="7"/>
        <v>7</v>
      </c>
      <c r="I117">
        <v>20</v>
      </c>
      <c r="J117" t="s">
        <v>10</v>
      </c>
      <c r="K117" t="s">
        <v>16</v>
      </c>
      <c r="L117" t="s">
        <v>14</v>
      </c>
      <c r="M117" t="s">
        <v>26</v>
      </c>
      <c r="N117" t="s">
        <v>18</v>
      </c>
      <c r="O117">
        <v>6</v>
      </c>
      <c r="Q117" t="s">
        <v>12</v>
      </c>
      <c r="R117" t="str">
        <f t="shared" si="10"/>
        <v>2_46__118_07/26/2022_2022_MonMon_CRC_TR_RZ_Rz_6__Nutrients</v>
      </c>
    </row>
    <row r="118" spans="1:18" x14ac:dyDescent="0.25">
      <c r="A118">
        <v>2</v>
      </c>
      <c r="B118">
        <v>47</v>
      </c>
      <c r="D118">
        <v>119</v>
      </c>
      <c r="E118" s="1">
        <v>44769</v>
      </c>
      <c r="F118" s="11">
        <f t="shared" si="9"/>
        <v>44769</v>
      </c>
      <c r="G118">
        <f t="shared" si="6"/>
        <v>2022</v>
      </c>
      <c r="H118">
        <f t="shared" si="7"/>
        <v>7</v>
      </c>
      <c r="I118">
        <v>20</v>
      </c>
      <c r="J118" t="s">
        <v>10</v>
      </c>
      <c r="K118" t="s">
        <v>16</v>
      </c>
      <c r="L118" t="s">
        <v>14</v>
      </c>
      <c r="M118" t="s">
        <v>26</v>
      </c>
      <c r="N118" t="s">
        <v>18</v>
      </c>
      <c r="O118">
        <v>7</v>
      </c>
      <c r="Q118" t="s">
        <v>12</v>
      </c>
      <c r="R118" t="str">
        <f t="shared" si="10"/>
        <v>2_47__119_07/27/2022_2022_MonMon_CRC_TR_RZ_Rz_7__Nutrients</v>
      </c>
    </row>
    <row r="119" spans="1:18" x14ac:dyDescent="0.25">
      <c r="A119">
        <v>2</v>
      </c>
      <c r="B119">
        <v>48</v>
      </c>
      <c r="D119">
        <v>120</v>
      </c>
      <c r="E119" s="1">
        <v>44770</v>
      </c>
      <c r="F119" s="11">
        <f t="shared" si="9"/>
        <v>44770</v>
      </c>
      <c r="G119">
        <f t="shared" si="6"/>
        <v>2022</v>
      </c>
      <c r="H119">
        <f t="shared" si="7"/>
        <v>7</v>
      </c>
      <c r="I119">
        <v>20</v>
      </c>
      <c r="J119" t="s">
        <v>10</v>
      </c>
      <c r="K119" t="s">
        <v>16</v>
      </c>
      <c r="L119" t="s">
        <v>14</v>
      </c>
      <c r="M119" t="s">
        <v>26</v>
      </c>
      <c r="N119" t="s">
        <v>18</v>
      </c>
      <c r="O119">
        <v>8</v>
      </c>
      <c r="Q119" t="s">
        <v>12</v>
      </c>
      <c r="R119" t="str">
        <f t="shared" si="10"/>
        <v>2_48__120_07/28/2022_2022_MonMon_CRC_TR_RZ_Rz_8__Nutrients</v>
      </c>
    </row>
    <row r="120" spans="1:18" x14ac:dyDescent="0.25">
      <c r="A120">
        <v>2</v>
      </c>
      <c r="B120">
        <v>51</v>
      </c>
      <c r="D120">
        <v>123</v>
      </c>
      <c r="E120" s="1">
        <v>44820</v>
      </c>
      <c r="F120" s="11">
        <f t="shared" si="9"/>
        <v>44820</v>
      </c>
      <c r="G120">
        <f t="shared" si="6"/>
        <v>2022</v>
      </c>
      <c r="H120">
        <f t="shared" si="7"/>
        <v>9</v>
      </c>
      <c r="I120">
        <f t="shared" ref="I120:I183" si="12">DAY(E120)</f>
        <v>16</v>
      </c>
      <c r="J120" t="s">
        <v>10</v>
      </c>
      <c r="K120" t="s">
        <v>16</v>
      </c>
      <c r="L120" t="s">
        <v>14</v>
      </c>
      <c r="M120" t="s">
        <v>26</v>
      </c>
      <c r="N120" t="s">
        <v>18</v>
      </c>
      <c r="O120">
        <v>3</v>
      </c>
      <c r="Q120" t="s">
        <v>12</v>
      </c>
      <c r="R120" t="str">
        <f t="shared" si="10"/>
        <v>2_51__123_09/16/2022_2022_MonMon_CRC_TR_RZ_Rz_3__Nutrients</v>
      </c>
    </row>
    <row r="121" spans="1:18" x14ac:dyDescent="0.25">
      <c r="A121">
        <v>2</v>
      </c>
      <c r="B121">
        <v>52</v>
      </c>
      <c r="D121">
        <v>124</v>
      </c>
      <c r="E121" s="1">
        <v>44820</v>
      </c>
      <c r="F121" s="11">
        <f t="shared" si="9"/>
        <v>44820</v>
      </c>
      <c r="G121">
        <f t="shared" si="6"/>
        <v>2022</v>
      </c>
      <c r="H121">
        <f t="shared" si="7"/>
        <v>9</v>
      </c>
      <c r="I121">
        <f t="shared" si="12"/>
        <v>16</v>
      </c>
      <c r="J121" t="s">
        <v>10</v>
      </c>
      <c r="K121" t="s">
        <v>16</v>
      </c>
      <c r="L121" t="s">
        <v>14</v>
      </c>
      <c r="M121" t="s">
        <v>26</v>
      </c>
      <c r="N121" t="s">
        <v>18</v>
      </c>
      <c r="Q121" t="s">
        <v>12</v>
      </c>
      <c r="R121" t="str">
        <f t="shared" si="10"/>
        <v>2_52__124_09/16/2022_2022_MonMon_CRC_TR_RZ_Rz___Nutrients</v>
      </c>
    </row>
    <row r="122" spans="1:18" x14ac:dyDescent="0.25">
      <c r="A122">
        <v>2</v>
      </c>
      <c r="B122">
        <v>53</v>
      </c>
      <c r="D122">
        <v>125</v>
      </c>
      <c r="E122" s="1">
        <v>44848</v>
      </c>
      <c r="F122" s="11">
        <f t="shared" si="9"/>
        <v>44848</v>
      </c>
      <c r="G122">
        <f t="shared" si="6"/>
        <v>2022</v>
      </c>
      <c r="H122">
        <f t="shared" si="7"/>
        <v>10</v>
      </c>
      <c r="I122">
        <f t="shared" si="12"/>
        <v>14</v>
      </c>
      <c r="J122" t="s">
        <v>10</v>
      </c>
      <c r="K122" t="s">
        <v>16</v>
      </c>
      <c r="L122" t="s">
        <v>14</v>
      </c>
      <c r="M122" t="s">
        <v>26</v>
      </c>
      <c r="N122" t="s">
        <v>18</v>
      </c>
      <c r="O122">
        <v>3</v>
      </c>
      <c r="Q122" t="s">
        <v>12</v>
      </c>
      <c r="R122" t="str">
        <f t="shared" si="10"/>
        <v>2_53__125_10/14/2022_2022_MonMon_CRC_TR_RZ_Rz_3__Nutrients</v>
      </c>
    </row>
    <row r="123" spans="1:18" x14ac:dyDescent="0.25">
      <c r="A123">
        <v>2</v>
      </c>
      <c r="B123">
        <v>54</v>
      </c>
      <c r="D123">
        <v>126</v>
      </c>
      <c r="E123" s="1">
        <v>44848</v>
      </c>
      <c r="F123" s="11">
        <f t="shared" si="9"/>
        <v>44848</v>
      </c>
      <c r="G123">
        <f t="shared" si="6"/>
        <v>2022</v>
      </c>
      <c r="H123">
        <f t="shared" si="7"/>
        <v>10</v>
      </c>
      <c r="I123">
        <f t="shared" si="12"/>
        <v>14</v>
      </c>
      <c r="J123" t="s">
        <v>10</v>
      </c>
      <c r="K123" t="s">
        <v>16</v>
      </c>
      <c r="L123" t="s">
        <v>14</v>
      </c>
      <c r="M123" t="s">
        <v>26</v>
      </c>
      <c r="N123" t="s">
        <v>18</v>
      </c>
      <c r="O123">
        <v>4</v>
      </c>
      <c r="Q123" t="s">
        <v>12</v>
      </c>
      <c r="R123" t="str">
        <f t="shared" si="10"/>
        <v>2_54__126_10/14/2022_2022_MonMon_CRC_TR_RZ_Rz_4__Nutrients</v>
      </c>
    </row>
    <row r="124" spans="1:18" x14ac:dyDescent="0.25">
      <c r="A124">
        <v>2</v>
      </c>
      <c r="B124">
        <v>55</v>
      </c>
      <c r="D124">
        <v>127</v>
      </c>
      <c r="E124" s="1">
        <v>44848</v>
      </c>
      <c r="F124" s="11">
        <f t="shared" si="9"/>
        <v>44848</v>
      </c>
      <c r="G124">
        <f t="shared" si="6"/>
        <v>2022</v>
      </c>
      <c r="H124">
        <f t="shared" si="7"/>
        <v>10</v>
      </c>
      <c r="I124">
        <f t="shared" si="12"/>
        <v>14</v>
      </c>
      <c r="J124" t="s">
        <v>10</v>
      </c>
      <c r="K124" t="s">
        <v>16</v>
      </c>
      <c r="L124" t="s">
        <v>14</v>
      </c>
      <c r="M124" t="s">
        <v>26</v>
      </c>
      <c r="N124" t="s">
        <v>18</v>
      </c>
      <c r="O124">
        <v>4</v>
      </c>
      <c r="Q124" t="s">
        <v>12</v>
      </c>
      <c r="R124" t="str">
        <f t="shared" si="10"/>
        <v>2_55__127_10/14/2022_2022_MonMon_CRC_TR_RZ_Rz_4__Nutrients</v>
      </c>
    </row>
    <row r="125" spans="1:18" x14ac:dyDescent="0.25">
      <c r="A125">
        <v>2</v>
      </c>
      <c r="B125">
        <v>61</v>
      </c>
      <c r="D125">
        <v>128</v>
      </c>
      <c r="E125" s="1">
        <v>44855</v>
      </c>
      <c r="F125" s="11">
        <f t="shared" si="9"/>
        <v>44855</v>
      </c>
      <c r="G125">
        <f t="shared" si="6"/>
        <v>2022</v>
      </c>
      <c r="H125">
        <f t="shared" si="7"/>
        <v>10</v>
      </c>
      <c r="I125">
        <f t="shared" si="12"/>
        <v>21</v>
      </c>
      <c r="J125" t="s">
        <v>10</v>
      </c>
      <c r="K125" t="s">
        <v>8</v>
      </c>
      <c r="L125" t="s">
        <v>14</v>
      </c>
      <c r="M125" t="s">
        <v>26</v>
      </c>
      <c r="N125" t="s">
        <v>18</v>
      </c>
      <c r="O125">
        <v>1</v>
      </c>
      <c r="Q125" t="s">
        <v>12</v>
      </c>
      <c r="R125" t="str">
        <f t="shared" si="10"/>
        <v>2_61__128_10/21/2022_2022_MonMon_OWC_TR_RZ_Rz_1__Nutrients</v>
      </c>
    </row>
    <row r="126" spans="1:18" x14ac:dyDescent="0.25">
      <c r="A126">
        <v>2</v>
      </c>
      <c r="B126">
        <v>62</v>
      </c>
      <c r="D126">
        <v>129</v>
      </c>
      <c r="E126" s="1">
        <v>44855</v>
      </c>
      <c r="F126" s="11">
        <f t="shared" si="9"/>
        <v>44855</v>
      </c>
      <c r="G126">
        <f t="shared" si="6"/>
        <v>2022</v>
      </c>
      <c r="H126">
        <f t="shared" si="7"/>
        <v>10</v>
      </c>
      <c r="I126">
        <f t="shared" si="12"/>
        <v>21</v>
      </c>
      <c r="J126" t="s">
        <v>10</v>
      </c>
      <c r="K126" t="s">
        <v>8</v>
      </c>
      <c r="L126" t="s">
        <v>14</v>
      </c>
      <c r="M126" t="s">
        <v>26</v>
      </c>
      <c r="N126" t="s">
        <v>18</v>
      </c>
      <c r="O126">
        <v>2</v>
      </c>
      <c r="Q126" t="s">
        <v>12</v>
      </c>
      <c r="R126" t="str">
        <f t="shared" si="10"/>
        <v>2_62__129_10/21/2022_2022_MonMon_OWC_TR_RZ_Rz_2__Nutrients</v>
      </c>
    </row>
    <row r="127" spans="1:18" x14ac:dyDescent="0.25">
      <c r="A127">
        <v>2</v>
      </c>
      <c r="B127">
        <v>63</v>
      </c>
      <c r="D127">
        <v>130</v>
      </c>
      <c r="E127" s="1">
        <v>44855</v>
      </c>
      <c r="F127" s="11">
        <f t="shared" si="9"/>
        <v>44855</v>
      </c>
      <c r="G127">
        <f t="shared" si="6"/>
        <v>2022</v>
      </c>
      <c r="H127">
        <f t="shared" si="7"/>
        <v>10</v>
      </c>
      <c r="I127">
        <f t="shared" si="12"/>
        <v>21</v>
      </c>
      <c r="J127" t="s">
        <v>10</v>
      </c>
      <c r="K127" t="s">
        <v>8</v>
      </c>
      <c r="L127" t="s">
        <v>14</v>
      </c>
      <c r="M127" t="s">
        <v>26</v>
      </c>
      <c r="N127" t="s">
        <v>18</v>
      </c>
      <c r="O127">
        <v>2</v>
      </c>
      <c r="Q127" t="s">
        <v>12</v>
      </c>
      <c r="R127" t="str">
        <f t="shared" si="10"/>
        <v>2_63__130_10/21/2022_2022_MonMon_OWC_TR_RZ_Rz_2__Nutrients</v>
      </c>
    </row>
    <row r="128" spans="1:18" x14ac:dyDescent="0.25">
      <c r="A128">
        <v>2</v>
      </c>
      <c r="B128">
        <v>64</v>
      </c>
      <c r="D128">
        <v>131</v>
      </c>
      <c r="E128" s="1">
        <v>44855</v>
      </c>
      <c r="F128" s="11">
        <f t="shared" si="9"/>
        <v>44855</v>
      </c>
      <c r="G128">
        <f t="shared" si="6"/>
        <v>2022</v>
      </c>
      <c r="H128">
        <f t="shared" si="7"/>
        <v>10</v>
      </c>
      <c r="I128">
        <f t="shared" si="12"/>
        <v>21</v>
      </c>
      <c r="J128" t="s">
        <v>10</v>
      </c>
      <c r="K128" t="s">
        <v>8</v>
      </c>
      <c r="L128" t="s">
        <v>14</v>
      </c>
      <c r="M128" t="s">
        <v>26</v>
      </c>
      <c r="N128" t="s">
        <v>18</v>
      </c>
      <c r="O128">
        <v>3</v>
      </c>
      <c r="Q128" t="s">
        <v>12</v>
      </c>
      <c r="R128" t="str">
        <f t="shared" si="10"/>
        <v>2_64__131_10/21/2022_2022_MonMon_OWC_TR_RZ_Rz_3__Nutrients</v>
      </c>
    </row>
    <row r="129" spans="1:18" x14ac:dyDescent="0.25">
      <c r="A129">
        <v>2</v>
      </c>
      <c r="B129">
        <v>65</v>
      </c>
      <c r="D129">
        <v>132</v>
      </c>
      <c r="E129" s="1">
        <v>44855</v>
      </c>
      <c r="F129" s="11">
        <f t="shared" si="9"/>
        <v>44855</v>
      </c>
      <c r="G129">
        <f t="shared" si="6"/>
        <v>2022</v>
      </c>
      <c r="H129">
        <f t="shared" si="7"/>
        <v>10</v>
      </c>
      <c r="I129">
        <f t="shared" si="12"/>
        <v>21</v>
      </c>
      <c r="J129" t="s">
        <v>10</v>
      </c>
      <c r="K129" t="s">
        <v>8</v>
      </c>
      <c r="L129" t="s">
        <v>14</v>
      </c>
      <c r="M129" t="s">
        <v>26</v>
      </c>
      <c r="N129" t="s">
        <v>18</v>
      </c>
      <c r="O129">
        <v>4</v>
      </c>
      <c r="Q129" t="s">
        <v>12</v>
      </c>
      <c r="R129" t="str">
        <f t="shared" si="10"/>
        <v>2_65__132_10/21/2022_2022_MonMon_OWC_TR_RZ_Rz_4__Nutrients</v>
      </c>
    </row>
    <row r="130" spans="1:18" x14ac:dyDescent="0.25">
      <c r="A130">
        <v>2</v>
      </c>
      <c r="B130">
        <v>66</v>
      </c>
      <c r="D130">
        <v>133</v>
      </c>
      <c r="E130" s="1">
        <v>44855</v>
      </c>
      <c r="F130" s="11">
        <f t="shared" si="9"/>
        <v>44855</v>
      </c>
      <c r="G130">
        <f t="shared" ref="G130:G193" si="13">YEAR(E130)</f>
        <v>2022</v>
      </c>
      <c r="H130">
        <f t="shared" ref="H130:H193" si="14">MONTH(E130)</f>
        <v>10</v>
      </c>
      <c r="I130">
        <f t="shared" si="12"/>
        <v>21</v>
      </c>
      <c r="J130" t="s">
        <v>10</v>
      </c>
      <c r="K130" t="s">
        <v>8</v>
      </c>
      <c r="L130" t="s">
        <v>14</v>
      </c>
      <c r="M130" t="s">
        <v>26</v>
      </c>
      <c r="N130" t="s">
        <v>18</v>
      </c>
      <c r="O130">
        <v>6</v>
      </c>
      <c r="Q130" t="s">
        <v>12</v>
      </c>
      <c r="R130" t="str">
        <f t="shared" si="10"/>
        <v>2_66__133_10/21/2022_2022_MonMon_OWC_TR_RZ_Rz_6__Nutrients</v>
      </c>
    </row>
    <row r="131" spans="1:18" x14ac:dyDescent="0.25">
      <c r="A131">
        <v>2</v>
      </c>
      <c r="B131">
        <v>67</v>
      </c>
      <c r="D131">
        <v>134</v>
      </c>
      <c r="E131" s="1">
        <v>44855</v>
      </c>
      <c r="F131" s="11">
        <f t="shared" ref="F131:F194" si="15">E131</f>
        <v>44855</v>
      </c>
      <c r="G131">
        <f t="shared" si="13"/>
        <v>2022</v>
      </c>
      <c r="H131">
        <f t="shared" si="14"/>
        <v>10</v>
      </c>
      <c r="I131">
        <f t="shared" si="12"/>
        <v>21</v>
      </c>
      <c r="J131" t="s">
        <v>10</v>
      </c>
      <c r="K131" t="s">
        <v>8</v>
      </c>
      <c r="L131" t="s">
        <v>14</v>
      </c>
      <c r="M131" t="s">
        <v>26</v>
      </c>
      <c r="N131" t="s">
        <v>18</v>
      </c>
      <c r="O131">
        <v>6</v>
      </c>
      <c r="Q131" t="s">
        <v>12</v>
      </c>
      <c r="R131" t="str">
        <f t="shared" ref="R131:R194" si="16">CONCATENATE(A131,"_",B131,"_", C131,"_",D131,"_",TEXT(E131, "mm/dd/yyyy"),"_",G131,"_",J131,"_",K131,"_",L131,"_",M131,"_",N131,"_",O131,"_",P131,"_",Q131)</f>
        <v>2_67__134_10/21/2022_2022_MonMon_OWC_TR_RZ_Rz_6__Nutrients</v>
      </c>
    </row>
    <row r="132" spans="1:18" x14ac:dyDescent="0.25">
      <c r="A132">
        <v>2</v>
      </c>
      <c r="B132">
        <v>68</v>
      </c>
      <c r="D132">
        <v>135</v>
      </c>
      <c r="E132" s="1">
        <v>44855</v>
      </c>
      <c r="F132" s="11">
        <f t="shared" si="15"/>
        <v>44855</v>
      </c>
      <c r="G132">
        <f t="shared" si="13"/>
        <v>2022</v>
      </c>
      <c r="H132">
        <f t="shared" si="14"/>
        <v>10</v>
      </c>
      <c r="I132">
        <f t="shared" si="12"/>
        <v>21</v>
      </c>
      <c r="J132" t="s">
        <v>10</v>
      </c>
      <c r="K132" t="s">
        <v>8</v>
      </c>
      <c r="L132" t="s">
        <v>14</v>
      </c>
      <c r="M132" t="s">
        <v>26</v>
      </c>
      <c r="N132" t="s">
        <v>18</v>
      </c>
      <c r="O132">
        <v>7</v>
      </c>
      <c r="Q132" t="s">
        <v>12</v>
      </c>
      <c r="R132" t="str">
        <f t="shared" si="16"/>
        <v>2_68__135_10/21/2022_2022_MonMon_OWC_TR_RZ_Rz_7__Nutrients</v>
      </c>
    </row>
    <row r="133" spans="1:18" x14ac:dyDescent="0.25">
      <c r="A133">
        <v>2</v>
      </c>
      <c r="B133">
        <v>69</v>
      </c>
      <c r="D133">
        <v>136</v>
      </c>
      <c r="E133" s="1">
        <v>44855</v>
      </c>
      <c r="F133" s="11">
        <f t="shared" si="15"/>
        <v>44855</v>
      </c>
      <c r="G133">
        <f t="shared" si="13"/>
        <v>2022</v>
      </c>
      <c r="H133">
        <f t="shared" si="14"/>
        <v>10</v>
      </c>
      <c r="I133">
        <f t="shared" si="12"/>
        <v>21</v>
      </c>
      <c r="J133" t="s">
        <v>10</v>
      </c>
      <c r="K133" t="s">
        <v>8</v>
      </c>
      <c r="L133" t="s">
        <v>14</v>
      </c>
      <c r="M133" t="s">
        <v>26</v>
      </c>
      <c r="N133" t="s">
        <v>18</v>
      </c>
      <c r="O133">
        <v>7</v>
      </c>
      <c r="Q133" t="s">
        <v>12</v>
      </c>
      <c r="R133" t="str">
        <f t="shared" si="16"/>
        <v>2_69__136_10/21/2022_2022_MonMon_OWC_TR_RZ_Rz_7__Nutrients</v>
      </c>
    </row>
    <row r="134" spans="1:18" x14ac:dyDescent="0.25">
      <c r="A134">
        <v>2</v>
      </c>
      <c r="B134">
        <v>70</v>
      </c>
      <c r="D134">
        <v>137</v>
      </c>
      <c r="E134" s="1">
        <v>44855</v>
      </c>
      <c r="F134" s="11">
        <f t="shared" si="15"/>
        <v>44855</v>
      </c>
      <c r="G134">
        <f t="shared" si="13"/>
        <v>2022</v>
      </c>
      <c r="H134">
        <f t="shared" si="14"/>
        <v>10</v>
      </c>
      <c r="I134">
        <f t="shared" si="12"/>
        <v>21</v>
      </c>
      <c r="J134" t="s">
        <v>10</v>
      </c>
      <c r="K134" t="s">
        <v>8</v>
      </c>
      <c r="L134" t="s">
        <v>14</v>
      </c>
      <c r="M134" t="s">
        <v>26</v>
      </c>
      <c r="N134" t="s">
        <v>18</v>
      </c>
      <c r="O134">
        <v>8</v>
      </c>
      <c r="Q134" t="s">
        <v>12</v>
      </c>
      <c r="R134" t="str">
        <f t="shared" si="16"/>
        <v>2_70__137_10/21/2022_2022_MonMon_OWC_TR_RZ_Rz_8__Nutrients</v>
      </c>
    </row>
    <row r="135" spans="1:18" x14ac:dyDescent="0.25">
      <c r="A135">
        <v>2</v>
      </c>
      <c r="B135">
        <v>71</v>
      </c>
      <c r="D135">
        <v>138</v>
      </c>
      <c r="E135" s="1">
        <v>44915</v>
      </c>
      <c r="F135" s="11">
        <f t="shared" si="15"/>
        <v>44915</v>
      </c>
      <c r="G135">
        <f t="shared" si="13"/>
        <v>2022</v>
      </c>
      <c r="H135">
        <f t="shared" si="14"/>
        <v>12</v>
      </c>
      <c r="I135">
        <f t="shared" si="12"/>
        <v>20</v>
      </c>
      <c r="J135" t="s">
        <v>10</v>
      </c>
      <c r="K135" t="s">
        <v>8</v>
      </c>
      <c r="L135" t="s">
        <v>17</v>
      </c>
      <c r="M135" t="s">
        <v>26</v>
      </c>
      <c r="N135" t="s">
        <v>18</v>
      </c>
      <c r="O135">
        <v>2</v>
      </c>
      <c r="Q135" t="s">
        <v>12</v>
      </c>
      <c r="R135" t="str">
        <f t="shared" si="16"/>
        <v>2_71__138_12/20/2022_2022_MonMon_OWC_UP_RZ_Rz_2__Nutrients</v>
      </c>
    </row>
    <row r="136" spans="1:18" x14ac:dyDescent="0.25">
      <c r="A136">
        <v>2</v>
      </c>
      <c r="B136">
        <v>72</v>
      </c>
      <c r="D136">
        <v>139</v>
      </c>
      <c r="E136" s="1">
        <v>44915</v>
      </c>
      <c r="F136" s="11">
        <f t="shared" si="15"/>
        <v>44915</v>
      </c>
      <c r="G136">
        <f t="shared" si="13"/>
        <v>2022</v>
      </c>
      <c r="H136">
        <f t="shared" si="14"/>
        <v>12</v>
      </c>
      <c r="I136">
        <f t="shared" si="12"/>
        <v>20</v>
      </c>
      <c r="J136" t="s">
        <v>10</v>
      </c>
      <c r="K136" t="s">
        <v>8</v>
      </c>
      <c r="L136" t="s">
        <v>17</v>
      </c>
      <c r="M136" t="s">
        <v>26</v>
      </c>
      <c r="N136" t="s">
        <v>18</v>
      </c>
      <c r="O136">
        <v>2</v>
      </c>
      <c r="Q136" t="s">
        <v>12</v>
      </c>
      <c r="R136" t="str">
        <f t="shared" si="16"/>
        <v>2_72__139_12/20/2022_2022_MonMon_OWC_UP_RZ_Rz_2__Nutrients</v>
      </c>
    </row>
    <row r="137" spans="1:18" x14ac:dyDescent="0.25">
      <c r="A137">
        <v>2</v>
      </c>
      <c r="B137">
        <v>73</v>
      </c>
      <c r="D137">
        <v>140</v>
      </c>
      <c r="E137" s="1">
        <v>44915</v>
      </c>
      <c r="F137" s="11">
        <f t="shared" si="15"/>
        <v>44915</v>
      </c>
      <c r="G137">
        <f t="shared" si="13"/>
        <v>2022</v>
      </c>
      <c r="H137">
        <f t="shared" si="14"/>
        <v>12</v>
      </c>
      <c r="I137">
        <f t="shared" si="12"/>
        <v>20</v>
      </c>
      <c r="J137" t="s">
        <v>10</v>
      </c>
      <c r="K137" t="s">
        <v>8</v>
      </c>
      <c r="L137" t="s">
        <v>17</v>
      </c>
      <c r="M137" t="s">
        <v>26</v>
      </c>
      <c r="N137" t="s">
        <v>18</v>
      </c>
      <c r="O137">
        <v>4</v>
      </c>
      <c r="Q137" t="s">
        <v>12</v>
      </c>
      <c r="R137" t="str">
        <f t="shared" si="16"/>
        <v>2_73__140_12/20/2022_2022_MonMon_OWC_UP_RZ_Rz_4__Nutrients</v>
      </c>
    </row>
    <row r="138" spans="1:18" x14ac:dyDescent="0.25">
      <c r="A138">
        <v>2</v>
      </c>
      <c r="B138">
        <v>74</v>
      </c>
      <c r="D138">
        <v>141</v>
      </c>
      <c r="E138" s="1">
        <v>44915</v>
      </c>
      <c r="F138" s="11">
        <f t="shared" si="15"/>
        <v>44915</v>
      </c>
      <c r="G138">
        <f t="shared" si="13"/>
        <v>2022</v>
      </c>
      <c r="H138">
        <f t="shared" si="14"/>
        <v>12</v>
      </c>
      <c r="I138">
        <f t="shared" si="12"/>
        <v>20</v>
      </c>
      <c r="J138" t="s">
        <v>10</v>
      </c>
      <c r="K138" t="s">
        <v>8</v>
      </c>
      <c r="L138" t="s">
        <v>17</v>
      </c>
      <c r="M138" t="s">
        <v>26</v>
      </c>
      <c r="N138" t="s">
        <v>18</v>
      </c>
      <c r="O138">
        <v>5</v>
      </c>
      <c r="Q138" t="s">
        <v>12</v>
      </c>
      <c r="R138" t="str">
        <f t="shared" si="16"/>
        <v>2_74__141_12/20/2022_2022_MonMon_OWC_UP_RZ_Rz_5__Nutrients</v>
      </c>
    </row>
    <row r="139" spans="1:18" x14ac:dyDescent="0.25">
      <c r="A139">
        <v>2</v>
      </c>
      <c r="B139">
        <v>75</v>
      </c>
      <c r="D139">
        <v>142</v>
      </c>
      <c r="E139" s="1">
        <v>44915</v>
      </c>
      <c r="F139" s="11">
        <f t="shared" si="15"/>
        <v>44915</v>
      </c>
      <c r="G139">
        <f t="shared" si="13"/>
        <v>2022</v>
      </c>
      <c r="H139">
        <f t="shared" si="14"/>
        <v>12</v>
      </c>
      <c r="I139">
        <f t="shared" si="12"/>
        <v>20</v>
      </c>
      <c r="J139" t="s">
        <v>10</v>
      </c>
      <c r="K139" t="s">
        <v>8</v>
      </c>
      <c r="L139" t="s">
        <v>14</v>
      </c>
      <c r="M139" t="s">
        <v>26</v>
      </c>
      <c r="N139" t="s">
        <v>18</v>
      </c>
      <c r="O139">
        <v>2</v>
      </c>
      <c r="Q139" t="s">
        <v>12</v>
      </c>
      <c r="R139" t="str">
        <f t="shared" si="16"/>
        <v>2_75__142_12/20/2022_2022_MonMon_OWC_TR_RZ_Rz_2__Nutrients</v>
      </c>
    </row>
    <row r="140" spans="1:18" x14ac:dyDescent="0.25">
      <c r="A140">
        <v>2</v>
      </c>
      <c r="B140">
        <v>76</v>
      </c>
      <c r="D140">
        <v>143</v>
      </c>
      <c r="E140" s="1">
        <v>44915</v>
      </c>
      <c r="F140" s="11">
        <f t="shared" si="15"/>
        <v>44915</v>
      </c>
      <c r="G140">
        <f t="shared" si="13"/>
        <v>2022</v>
      </c>
      <c r="H140">
        <f t="shared" si="14"/>
        <v>12</v>
      </c>
      <c r="I140">
        <f t="shared" si="12"/>
        <v>20</v>
      </c>
      <c r="J140" t="s">
        <v>10</v>
      </c>
      <c r="K140" t="s">
        <v>8</v>
      </c>
      <c r="L140" t="s">
        <v>14</v>
      </c>
      <c r="M140" t="s">
        <v>26</v>
      </c>
      <c r="N140" t="s">
        <v>18</v>
      </c>
      <c r="O140">
        <v>2</v>
      </c>
      <c r="Q140" t="s">
        <v>12</v>
      </c>
      <c r="R140" t="str">
        <f t="shared" si="16"/>
        <v>2_76__143_12/20/2022_2022_MonMon_OWC_TR_RZ_Rz_2__Nutrients</v>
      </c>
    </row>
    <row r="141" spans="1:18" x14ac:dyDescent="0.25">
      <c r="A141">
        <v>2</v>
      </c>
      <c r="B141">
        <v>77</v>
      </c>
      <c r="D141">
        <v>144</v>
      </c>
      <c r="E141" s="1">
        <v>44915</v>
      </c>
      <c r="F141" s="11">
        <f t="shared" si="15"/>
        <v>44915</v>
      </c>
      <c r="G141">
        <f t="shared" si="13"/>
        <v>2022</v>
      </c>
      <c r="H141">
        <f t="shared" si="14"/>
        <v>12</v>
      </c>
      <c r="I141">
        <f t="shared" si="12"/>
        <v>20</v>
      </c>
      <c r="J141" t="s">
        <v>10</v>
      </c>
      <c r="K141" t="s">
        <v>8</v>
      </c>
      <c r="L141" t="s">
        <v>14</v>
      </c>
      <c r="M141" t="s">
        <v>26</v>
      </c>
      <c r="N141" t="s">
        <v>18</v>
      </c>
      <c r="O141">
        <v>7</v>
      </c>
      <c r="Q141" t="s">
        <v>12</v>
      </c>
      <c r="R141" t="str">
        <f t="shared" si="16"/>
        <v>2_77__144_12/20/2022_2022_MonMon_OWC_TR_RZ_Rz_7__Nutrients</v>
      </c>
    </row>
    <row r="142" spans="1:18" x14ac:dyDescent="0.25">
      <c r="A142">
        <v>2</v>
      </c>
      <c r="B142">
        <v>78</v>
      </c>
      <c r="D142">
        <v>145</v>
      </c>
      <c r="E142" s="1">
        <v>44915</v>
      </c>
      <c r="F142" s="11">
        <f t="shared" si="15"/>
        <v>44915</v>
      </c>
      <c r="G142">
        <f t="shared" si="13"/>
        <v>2022</v>
      </c>
      <c r="H142">
        <f t="shared" si="14"/>
        <v>12</v>
      </c>
      <c r="I142">
        <f t="shared" si="12"/>
        <v>20</v>
      </c>
      <c r="J142" t="s">
        <v>10</v>
      </c>
      <c r="K142" t="s">
        <v>8</v>
      </c>
      <c r="L142" t="s">
        <v>14</v>
      </c>
      <c r="M142" t="s">
        <v>26</v>
      </c>
      <c r="N142" t="s">
        <v>18</v>
      </c>
      <c r="O142">
        <v>7</v>
      </c>
      <c r="Q142" t="s">
        <v>12</v>
      </c>
      <c r="R142" t="str">
        <f t="shared" si="16"/>
        <v>2_78__145_12/20/2022_2022_MonMon_OWC_TR_RZ_Rz_7__Nutrients</v>
      </c>
    </row>
    <row r="143" spans="1:18" x14ac:dyDescent="0.25">
      <c r="A143">
        <v>2</v>
      </c>
      <c r="B143">
        <v>81</v>
      </c>
      <c r="D143">
        <v>148</v>
      </c>
      <c r="E143" s="1">
        <v>44790</v>
      </c>
      <c r="F143" s="11">
        <f t="shared" si="15"/>
        <v>44790</v>
      </c>
      <c r="G143">
        <f t="shared" si="13"/>
        <v>2022</v>
      </c>
      <c r="H143">
        <f t="shared" si="14"/>
        <v>8</v>
      </c>
      <c r="I143">
        <f t="shared" si="12"/>
        <v>17</v>
      </c>
      <c r="J143" t="s">
        <v>10</v>
      </c>
      <c r="K143" t="s">
        <v>16</v>
      </c>
      <c r="L143" t="s">
        <v>14</v>
      </c>
      <c r="M143" t="s">
        <v>26</v>
      </c>
      <c r="N143" t="s">
        <v>18</v>
      </c>
      <c r="O143" t="s">
        <v>39</v>
      </c>
      <c r="Q143" t="s">
        <v>12</v>
      </c>
      <c r="R143" t="str">
        <f t="shared" si="16"/>
        <v>2_81__148_08/17/2022_2022_MonMon_CRC_TR_RZ_Rz_2A__Nutrients</v>
      </c>
    </row>
    <row r="144" spans="1:18" x14ac:dyDescent="0.25">
      <c r="A144">
        <v>2</v>
      </c>
      <c r="B144">
        <v>82</v>
      </c>
      <c r="D144">
        <v>149</v>
      </c>
      <c r="E144" s="1">
        <v>44790</v>
      </c>
      <c r="F144" s="11">
        <f t="shared" si="15"/>
        <v>44790</v>
      </c>
      <c r="G144">
        <f t="shared" si="13"/>
        <v>2022</v>
      </c>
      <c r="H144">
        <f t="shared" si="14"/>
        <v>8</v>
      </c>
      <c r="I144">
        <f t="shared" si="12"/>
        <v>17</v>
      </c>
      <c r="J144" t="s">
        <v>10</v>
      </c>
      <c r="K144" t="s">
        <v>16</v>
      </c>
      <c r="L144" t="s">
        <v>14</v>
      </c>
      <c r="M144" t="s">
        <v>26</v>
      </c>
      <c r="N144" t="s">
        <v>18</v>
      </c>
      <c r="O144" t="s">
        <v>40</v>
      </c>
      <c r="Q144" t="s">
        <v>12</v>
      </c>
      <c r="R144" t="str">
        <f t="shared" si="16"/>
        <v>2_82__149_08/17/2022_2022_MonMon_CRC_TR_RZ_Rz_2B__Nutrients</v>
      </c>
    </row>
    <row r="145" spans="1:18" x14ac:dyDescent="0.25">
      <c r="A145">
        <v>2</v>
      </c>
      <c r="B145">
        <v>83</v>
      </c>
      <c r="D145">
        <v>150</v>
      </c>
      <c r="E145" s="1">
        <v>44790</v>
      </c>
      <c r="F145" s="11">
        <f t="shared" si="15"/>
        <v>44790</v>
      </c>
      <c r="G145">
        <f t="shared" si="13"/>
        <v>2022</v>
      </c>
      <c r="H145">
        <f t="shared" si="14"/>
        <v>8</v>
      </c>
      <c r="I145">
        <f t="shared" si="12"/>
        <v>17</v>
      </c>
      <c r="J145" t="s">
        <v>10</v>
      </c>
      <c r="K145" t="s">
        <v>16</v>
      </c>
      <c r="L145" t="s">
        <v>14</v>
      </c>
      <c r="M145" t="s">
        <v>26</v>
      </c>
      <c r="N145" t="s">
        <v>18</v>
      </c>
      <c r="O145" t="s">
        <v>41</v>
      </c>
      <c r="Q145" t="s">
        <v>12</v>
      </c>
      <c r="R145" t="str">
        <f t="shared" si="16"/>
        <v>2_83__150_08/17/2022_2022_MonMon_CRC_TR_RZ_Rz_2C__Nutrients</v>
      </c>
    </row>
    <row r="146" spans="1:18" x14ac:dyDescent="0.25">
      <c r="A146">
        <v>2</v>
      </c>
      <c r="B146">
        <v>84</v>
      </c>
      <c r="D146">
        <v>151</v>
      </c>
      <c r="E146" s="1">
        <v>44790</v>
      </c>
      <c r="F146" s="11">
        <f t="shared" si="15"/>
        <v>44790</v>
      </c>
      <c r="G146">
        <f t="shared" si="13"/>
        <v>2022</v>
      </c>
      <c r="H146">
        <f t="shared" si="14"/>
        <v>8</v>
      </c>
      <c r="I146">
        <f t="shared" si="12"/>
        <v>17</v>
      </c>
      <c r="J146" t="s">
        <v>10</v>
      </c>
      <c r="K146" t="s">
        <v>16</v>
      </c>
      <c r="L146" t="s">
        <v>14</v>
      </c>
      <c r="M146" t="s">
        <v>26</v>
      </c>
      <c r="N146" t="s">
        <v>18</v>
      </c>
      <c r="O146">
        <v>3</v>
      </c>
      <c r="Q146" t="s">
        <v>12</v>
      </c>
      <c r="R146" t="str">
        <f t="shared" si="16"/>
        <v>2_84__151_08/17/2022_2022_MonMon_CRC_TR_RZ_Rz_3__Nutrients</v>
      </c>
    </row>
    <row r="147" spans="1:18" x14ac:dyDescent="0.25">
      <c r="A147">
        <v>2</v>
      </c>
      <c r="B147">
        <v>85</v>
      </c>
      <c r="D147">
        <v>152</v>
      </c>
      <c r="E147" s="1">
        <v>44790</v>
      </c>
      <c r="F147" s="11">
        <f t="shared" si="15"/>
        <v>44790</v>
      </c>
      <c r="G147">
        <f t="shared" si="13"/>
        <v>2022</v>
      </c>
      <c r="H147">
        <f t="shared" si="14"/>
        <v>8</v>
      </c>
      <c r="I147">
        <f t="shared" si="12"/>
        <v>17</v>
      </c>
      <c r="J147" t="s">
        <v>10</v>
      </c>
      <c r="K147" t="s">
        <v>16</v>
      </c>
      <c r="L147" t="s">
        <v>14</v>
      </c>
      <c r="M147" t="s">
        <v>26</v>
      </c>
      <c r="N147" t="s">
        <v>18</v>
      </c>
      <c r="O147" t="s">
        <v>42</v>
      </c>
      <c r="Q147" t="s">
        <v>12</v>
      </c>
      <c r="R147" t="str">
        <f t="shared" si="16"/>
        <v>2_85__152_08/17/2022_2022_MonMon_CRC_TR_RZ_Rz_3B__Nutrients</v>
      </c>
    </row>
    <row r="148" spans="1:18" x14ac:dyDescent="0.25">
      <c r="A148">
        <v>2</v>
      </c>
      <c r="B148">
        <v>86</v>
      </c>
      <c r="D148">
        <v>153</v>
      </c>
      <c r="E148" s="1">
        <v>44790</v>
      </c>
      <c r="F148" s="11">
        <f t="shared" si="15"/>
        <v>44790</v>
      </c>
      <c r="G148">
        <f t="shared" si="13"/>
        <v>2022</v>
      </c>
      <c r="H148">
        <f t="shared" si="14"/>
        <v>8</v>
      </c>
      <c r="I148">
        <f t="shared" si="12"/>
        <v>17</v>
      </c>
      <c r="J148" t="s">
        <v>10</v>
      </c>
      <c r="K148" t="s">
        <v>16</v>
      </c>
      <c r="L148" t="s">
        <v>14</v>
      </c>
      <c r="M148" t="s">
        <v>26</v>
      </c>
      <c r="N148" t="s">
        <v>18</v>
      </c>
      <c r="O148" t="s">
        <v>42</v>
      </c>
      <c r="Q148" t="s">
        <v>12</v>
      </c>
      <c r="R148" t="str">
        <f t="shared" si="16"/>
        <v>2_86__153_08/17/2022_2022_MonMon_CRC_TR_RZ_Rz_3B__Nutrients</v>
      </c>
    </row>
    <row r="149" spans="1:18" x14ac:dyDescent="0.25">
      <c r="A149">
        <v>2</v>
      </c>
      <c r="B149">
        <v>87</v>
      </c>
      <c r="D149">
        <v>154</v>
      </c>
      <c r="E149" s="1">
        <v>44790</v>
      </c>
      <c r="F149" s="11">
        <f t="shared" si="15"/>
        <v>44790</v>
      </c>
      <c r="G149">
        <f t="shared" si="13"/>
        <v>2022</v>
      </c>
      <c r="H149">
        <f t="shared" si="14"/>
        <v>8</v>
      </c>
      <c r="I149">
        <f t="shared" si="12"/>
        <v>17</v>
      </c>
      <c r="J149" t="s">
        <v>10</v>
      </c>
      <c r="K149" t="s">
        <v>16</v>
      </c>
      <c r="L149" t="s">
        <v>14</v>
      </c>
      <c r="M149" t="s">
        <v>26</v>
      </c>
      <c r="N149" t="s">
        <v>18</v>
      </c>
      <c r="O149" t="s">
        <v>43</v>
      </c>
      <c r="Q149" t="s">
        <v>12</v>
      </c>
      <c r="R149" t="str">
        <f t="shared" si="16"/>
        <v>2_87__154_08/17/2022_2022_MonMon_CRC_TR_RZ_Rz_3C__Nutrients</v>
      </c>
    </row>
    <row r="150" spans="1:18" x14ac:dyDescent="0.25">
      <c r="A150">
        <v>2</v>
      </c>
      <c r="B150">
        <v>88</v>
      </c>
      <c r="D150">
        <v>155</v>
      </c>
      <c r="E150" s="1">
        <v>44790</v>
      </c>
      <c r="F150" s="11">
        <f t="shared" si="15"/>
        <v>44790</v>
      </c>
      <c r="G150">
        <f t="shared" si="13"/>
        <v>2022</v>
      </c>
      <c r="H150">
        <f t="shared" si="14"/>
        <v>8</v>
      </c>
      <c r="I150">
        <f t="shared" si="12"/>
        <v>17</v>
      </c>
      <c r="J150" t="s">
        <v>10</v>
      </c>
      <c r="K150" t="s">
        <v>16</v>
      </c>
      <c r="L150" t="s">
        <v>14</v>
      </c>
      <c r="M150" t="s">
        <v>26</v>
      </c>
      <c r="N150" t="s">
        <v>18</v>
      </c>
      <c r="O150" t="s">
        <v>43</v>
      </c>
      <c r="Q150" t="s">
        <v>12</v>
      </c>
      <c r="R150" t="str">
        <f t="shared" si="16"/>
        <v>2_88__155_08/17/2022_2022_MonMon_CRC_TR_RZ_Rz_3C__Nutrients</v>
      </c>
    </row>
    <row r="151" spans="1:18" x14ac:dyDescent="0.25">
      <c r="A151">
        <v>2</v>
      </c>
      <c r="B151">
        <v>89</v>
      </c>
      <c r="D151">
        <v>156</v>
      </c>
      <c r="E151" s="1">
        <v>44790</v>
      </c>
      <c r="F151" s="11">
        <f t="shared" si="15"/>
        <v>44790</v>
      </c>
      <c r="G151">
        <f t="shared" si="13"/>
        <v>2022</v>
      </c>
      <c r="H151">
        <f t="shared" si="14"/>
        <v>8</v>
      </c>
      <c r="I151">
        <f t="shared" si="12"/>
        <v>17</v>
      </c>
      <c r="J151" t="s">
        <v>10</v>
      </c>
      <c r="K151" t="s">
        <v>16</v>
      </c>
      <c r="L151" t="s">
        <v>14</v>
      </c>
      <c r="M151" t="s">
        <v>26</v>
      </c>
      <c r="N151" t="s">
        <v>18</v>
      </c>
      <c r="O151" t="s">
        <v>44</v>
      </c>
      <c r="Q151" t="s">
        <v>12</v>
      </c>
      <c r="R151" t="str">
        <f t="shared" si="16"/>
        <v>2_89__156_08/17/2022_2022_MonMon_CRC_TR_RZ_Rz_4A__Nutrients</v>
      </c>
    </row>
    <row r="152" spans="1:18" x14ac:dyDescent="0.25">
      <c r="A152">
        <v>2</v>
      </c>
      <c r="B152">
        <v>90</v>
      </c>
      <c r="D152">
        <v>157</v>
      </c>
      <c r="E152" s="1">
        <v>44790</v>
      </c>
      <c r="F152" s="11">
        <f t="shared" si="15"/>
        <v>44790</v>
      </c>
      <c r="G152">
        <f t="shared" si="13"/>
        <v>2022</v>
      </c>
      <c r="H152">
        <f t="shared" si="14"/>
        <v>8</v>
      </c>
      <c r="I152">
        <f t="shared" si="12"/>
        <v>17</v>
      </c>
      <c r="J152" t="s">
        <v>10</v>
      </c>
      <c r="K152" t="s">
        <v>16</v>
      </c>
      <c r="L152" t="s">
        <v>14</v>
      </c>
      <c r="M152" t="s">
        <v>26</v>
      </c>
      <c r="N152" t="s">
        <v>18</v>
      </c>
      <c r="O152" t="s">
        <v>45</v>
      </c>
      <c r="Q152" t="s">
        <v>12</v>
      </c>
      <c r="R152" t="str">
        <f t="shared" si="16"/>
        <v>2_90__157_08/17/2022_2022_MonMon_CRC_TR_RZ_Rz_4B__Nutrients</v>
      </c>
    </row>
    <row r="153" spans="1:18" x14ac:dyDescent="0.25">
      <c r="A153">
        <v>2</v>
      </c>
      <c r="B153">
        <v>91</v>
      </c>
      <c r="D153">
        <v>158</v>
      </c>
      <c r="E153" s="1">
        <v>44790</v>
      </c>
      <c r="F153" s="11">
        <f t="shared" si="15"/>
        <v>44790</v>
      </c>
      <c r="G153">
        <f t="shared" si="13"/>
        <v>2022</v>
      </c>
      <c r="H153">
        <f t="shared" si="14"/>
        <v>8</v>
      </c>
      <c r="I153">
        <f t="shared" si="12"/>
        <v>17</v>
      </c>
      <c r="J153" t="s">
        <v>10</v>
      </c>
      <c r="K153" t="s">
        <v>16</v>
      </c>
      <c r="L153" t="s">
        <v>14</v>
      </c>
      <c r="M153" t="s">
        <v>26</v>
      </c>
      <c r="N153" t="s">
        <v>18</v>
      </c>
      <c r="O153" t="s">
        <v>46</v>
      </c>
      <c r="Q153" t="s">
        <v>12</v>
      </c>
      <c r="R153" t="str">
        <f t="shared" si="16"/>
        <v>2_91__158_08/17/2022_2022_MonMon_CRC_TR_RZ_Rz_4C__Nutrients</v>
      </c>
    </row>
    <row r="154" spans="1:18" x14ac:dyDescent="0.25">
      <c r="A154">
        <v>2</v>
      </c>
      <c r="B154">
        <v>92</v>
      </c>
      <c r="D154">
        <v>159</v>
      </c>
      <c r="E154" s="1">
        <v>44790</v>
      </c>
      <c r="F154" s="11">
        <f t="shared" si="15"/>
        <v>44790</v>
      </c>
      <c r="G154">
        <f t="shared" si="13"/>
        <v>2022</v>
      </c>
      <c r="H154">
        <f t="shared" si="14"/>
        <v>8</v>
      </c>
      <c r="I154">
        <f t="shared" si="12"/>
        <v>17</v>
      </c>
      <c r="J154" t="s">
        <v>10</v>
      </c>
      <c r="K154" t="s">
        <v>16</v>
      </c>
      <c r="L154" t="s">
        <v>14</v>
      </c>
      <c r="M154" t="s">
        <v>26</v>
      </c>
      <c r="N154" t="s">
        <v>18</v>
      </c>
      <c r="O154">
        <v>5</v>
      </c>
      <c r="Q154" t="s">
        <v>12</v>
      </c>
      <c r="R154" t="str">
        <f t="shared" si="16"/>
        <v>2_92__159_08/17/2022_2022_MonMon_CRC_TR_RZ_Rz_5__Nutrients</v>
      </c>
    </row>
    <row r="155" spans="1:18" x14ac:dyDescent="0.25">
      <c r="A155">
        <v>2</v>
      </c>
      <c r="B155">
        <v>93</v>
      </c>
      <c r="D155">
        <v>160</v>
      </c>
      <c r="E155" s="1">
        <v>44790</v>
      </c>
      <c r="F155" s="11">
        <f t="shared" si="15"/>
        <v>44790</v>
      </c>
      <c r="G155">
        <f t="shared" si="13"/>
        <v>2022</v>
      </c>
      <c r="H155">
        <f t="shared" si="14"/>
        <v>8</v>
      </c>
      <c r="I155">
        <f t="shared" si="12"/>
        <v>17</v>
      </c>
      <c r="J155" t="s">
        <v>10</v>
      </c>
      <c r="K155" t="s">
        <v>16</v>
      </c>
      <c r="L155" t="s">
        <v>14</v>
      </c>
      <c r="M155" t="s">
        <v>26</v>
      </c>
      <c r="N155" t="s">
        <v>18</v>
      </c>
      <c r="O155">
        <v>7</v>
      </c>
      <c r="Q155" t="s">
        <v>12</v>
      </c>
      <c r="R155" t="str">
        <f t="shared" si="16"/>
        <v>2_93__160_08/17/2022_2022_MonMon_CRC_TR_RZ_Rz_7__Nutrients</v>
      </c>
    </row>
    <row r="156" spans="1:18" x14ac:dyDescent="0.25">
      <c r="A156">
        <v>2</v>
      </c>
      <c r="B156">
        <v>94</v>
      </c>
      <c r="D156">
        <v>161</v>
      </c>
      <c r="E156" s="1">
        <v>44790</v>
      </c>
      <c r="F156" s="11">
        <f t="shared" si="15"/>
        <v>44790</v>
      </c>
      <c r="G156">
        <f t="shared" si="13"/>
        <v>2022</v>
      </c>
      <c r="H156">
        <f t="shared" si="14"/>
        <v>8</v>
      </c>
      <c r="I156">
        <f t="shared" si="12"/>
        <v>17</v>
      </c>
      <c r="J156" t="s">
        <v>10</v>
      </c>
      <c r="K156" t="s">
        <v>16</v>
      </c>
      <c r="L156" t="s">
        <v>14</v>
      </c>
      <c r="M156" t="s">
        <v>26</v>
      </c>
      <c r="N156" t="s">
        <v>18</v>
      </c>
      <c r="O156">
        <v>7</v>
      </c>
      <c r="Q156" t="s">
        <v>12</v>
      </c>
      <c r="R156" t="str">
        <f t="shared" si="16"/>
        <v>2_94__161_08/17/2022_2022_MonMon_CRC_TR_RZ_Rz_7__Nutrients</v>
      </c>
    </row>
    <row r="157" spans="1:18" x14ac:dyDescent="0.25">
      <c r="A157">
        <v>2</v>
      </c>
      <c r="B157">
        <v>95</v>
      </c>
      <c r="D157">
        <v>162</v>
      </c>
      <c r="E157" s="1">
        <v>44790</v>
      </c>
      <c r="F157" s="11">
        <f t="shared" si="15"/>
        <v>44790</v>
      </c>
      <c r="G157">
        <f t="shared" si="13"/>
        <v>2022</v>
      </c>
      <c r="H157">
        <f t="shared" si="14"/>
        <v>8</v>
      </c>
      <c r="I157">
        <f t="shared" si="12"/>
        <v>17</v>
      </c>
      <c r="J157" t="s">
        <v>10</v>
      </c>
      <c r="K157" t="s">
        <v>16</v>
      </c>
      <c r="L157" t="s">
        <v>14</v>
      </c>
      <c r="M157" t="s">
        <v>26</v>
      </c>
      <c r="N157" t="s">
        <v>18</v>
      </c>
      <c r="O157">
        <v>7</v>
      </c>
      <c r="Q157" t="s">
        <v>12</v>
      </c>
      <c r="R157" t="str">
        <f t="shared" si="16"/>
        <v>2_95__162_08/17/2022_2022_MonMon_CRC_TR_RZ_Rz_7__Nutrients</v>
      </c>
    </row>
    <row r="158" spans="1:18" x14ac:dyDescent="0.25">
      <c r="A158">
        <v>2</v>
      </c>
      <c r="B158">
        <v>96</v>
      </c>
      <c r="D158">
        <v>163</v>
      </c>
      <c r="E158" s="1">
        <v>44790</v>
      </c>
      <c r="F158" s="11">
        <f t="shared" si="15"/>
        <v>44790</v>
      </c>
      <c r="G158">
        <f t="shared" si="13"/>
        <v>2022</v>
      </c>
      <c r="H158">
        <f t="shared" si="14"/>
        <v>8</v>
      </c>
      <c r="I158">
        <f t="shared" si="12"/>
        <v>17</v>
      </c>
      <c r="J158" t="s">
        <v>10</v>
      </c>
      <c r="K158" t="s">
        <v>13</v>
      </c>
      <c r="L158" t="s">
        <v>14</v>
      </c>
      <c r="M158" t="s">
        <v>26</v>
      </c>
      <c r="N158" t="s">
        <v>18</v>
      </c>
      <c r="O158">
        <v>8</v>
      </c>
      <c r="Q158" t="s">
        <v>12</v>
      </c>
      <c r="R158" t="str">
        <f t="shared" si="16"/>
        <v>2_96__163_08/17/2022_2022_MonMon_PTR_TR_RZ_Rz_8__Nutrients</v>
      </c>
    </row>
    <row r="159" spans="1:18" x14ac:dyDescent="0.25">
      <c r="A159">
        <v>2</v>
      </c>
      <c r="B159">
        <v>97</v>
      </c>
      <c r="D159">
        <v>164</v>
      </c>
      <c r="E159" s="1">
        <v>44790</v>
      </c>
      <c r="F159" s="11">
        <f t="shared" si="15"/>
        <v>44790</v>
      </c>
      <c r="G159">
        <f t="shared" si="13"/>
        <v>2022</v>
      </c>
      <c r="H159">
        <f t="shared" si="14"/>
        <v>8</v>
      </c>
      <c r="I159">
        <f t="shared" si="12"/>
        <v>17</v>
      </c>
      <c r="J159" t="s">
        <v>10</v>
      </c>
      <c r="K159" t="s">
        <v>13</v>
      </c>
      <c r="L159" t="s">
        <v>14</v>
      </c>
      <c r="M159" t="s">
        <v>26</v>
      </c>
      <c r="N159" t="s">
        <v>18</v>
      </c>
      <c r="O159">
        <v>8</v>
      </c>
      <c r="Q159" t="s">
        <v>12</v>
      </c>
      <c r="R159" t="str">
        <f t="shared" si="16"/>
        <v>2_97__164_08/17/2022_2022_MonMon_PTR_TR_RZ_Rz_8__Nutrients</v>
      </c>
    </row>
    <row r="160" spans="1:18" x14ac:dyDescent="0.25">
      <c r="A160">
        <v>3</v>
      </c>
      <c r="B160">
        <v>1</v>
      </c>
      <c r="D160">
        <v>165</v>
      </c>
      <c r="E160" s="1">
        <v>44754</v>
      </c>
      <c r="F160" s="11">
        <f t="shared" si="15"/>
        <v>44754</v>
      </c>
      <c r="G160">
        <f t="shared" si="13"/>
        <v>2022</v>
      </c>
      <c r="H160">
        <f t="shared" si="14"/>
        <v>7</v>
      </c>
      <c r="I160">
        <f t="shared" si="12"/>
        <v>12</v>
      </c>
      <c r="J160" t="s">
        <v>10</v>
      </c>
      <c r="K160" t="s">
        <v>16</v>
      </c>
      <c r="L160" t="s">
        <v>14</v>
      </c>
      <c r="M160" t="s">
        <v>11</v>
      </c>
      <c r="N160" t="s">
        <v>27</v>
      </c>
      <c r="O160" t="s">
        <v>23</v>
      </c>
      <c r="P160">
        <v>20</v>
      </c>
      <c r="Q160" t="s">
        <v>12</v>
      </c>
      <c r="R160" t="str">
        <f t="shared" si="16"/>
        <v>3_1__165_07/12/2022_2022_MonMon_CRC_TR_PW_Sip_A_20_Nutrients</v>
      </c>
    </row>
    <row r="161" spans="1:18" x14ac:dyDescent="0.25">
      <c r="A161">
        <v>3</v>
      </c>
      <c r="B161">
        <v>2</v>
      </c>
      <c r="D161">
        <v>166</v>
      </c>
      <c r="E161" s="1">
        <v>44754</v>
      </c>
      <c r="F161" s="11">
        <f t="shared" si="15"/>
        <v>44754</v>
      </c>
      <c r="G161">
        <f t="shared" si="13"/>
        <v>2022</v>
      </c>
      <c r="H161">
        <f t="shared" si="14"/>
        <v>7</v>
      </c>
      <c r="I161">
        <f t="shared" si="12"/>
        <v>12</v>
      </c>
      <c r="J161" t="s">
        <v>10</v>
      </c>
      <c r="K161" t="s">
        <v>16</v>
      </c>
      <c r="L161" t="s">
        <v>14</v>
      </c>
      <c r="M161" t="s">
        <v>11</v>
      </c>
      <c r="N161" t="s">
        <v>27</v>
      </c>
      <c r="O161" t="s">
        <v>23</v>
      </c>
      <c r="P161">
        <v>20</v>
      </c>
      <c r="Q161" t="s">
        <v>12</v>
      </c>
      <c r="R161" t="str">
        <f t="shared" si="16"/>
        <v>3_2__166_07/12/2022_2022_MonMon_CRC_TR_PW_Sip_A_20_Nutrients</v>
      </c>
    </row>
    <row r="162" spans="1:18" x14ac:dyDescent="0.25">
      <c r="A162">
        <v>3</v>
      </c>
      <c r="B162">
        <v>3</v>
      </c>
      <c r="D162">
        <v>167</v>
      </c>
      <c r="E162" s="1">
        <v>44754</v>
      </c>
      <c r="F162" s="11">
        <f t="shared" si="15"/>
        <v>44754</v>
      </c>
      <c r="G162">
        <f t="shared" si="13"/>
        <v>2022</v>
      </c>
      <c r="H162">
        <f t="shared" si="14"/>
        <v>7</v>
      </c>
      <c r="I162">
        <f t="shared" si="12"/>
        <v>12</v>
      </c>
      <c r="J162" t="s">
        <v>10</v>
      </c>
      <c r="K162" t="s">
        <v>16</v>
      </c>
      <c r="L162" t="s">
        <v>14</v>
      </c>
      <c r="M162" t="s">
        <v>11</v>
      </c>
      <c r="N162" t="s">
        <v>27</v>
      </c>
      <c r="O162" t="s">
        <v>23</v>
      </c>
      <c r="P162">
        <v>45</v>
      </c>
      <c r="Q162" t="s">
        <v>12</v>
      </c>
      <c r="R162" t="str">
        <f t="shared" si="16"/>
        <v>3_3__167_07/12/2022_2022_MonMon_CRC_TR_PW_Sip_A_45_Nutrients</v>
      </c>
    </row>
    <row r="163" spans="1:18" x14ac:dyDescent="0.25">
      <c r="A163">
        <v>3</v>
      </c>
      <c r="B163">
        <v>4</v>
      </c>
      <c r="D163">
        <v>168</v>
      </c>
      <c r="E163" s="1">
        <v>44754</v>
      </c>
      <c r="F163" s="11">
        <f t="shared" si="15"/>
        <v>44754</v>
      </c>
      <c r="G163">
        <f t="shared" si="13"/>
        <v>2022</v>
      </c>
      <c r="H163">
        <f t="shared" si="14"/>
        <v>7</v>
      </c>
      <c r="I163">
        <f t="shared" si="12"/>
        <v>12</v>
      </c>
      <c r="J163" t="s">
        <v>10</v>
      </c>
      <c r="K163" t="s">
        <v>16</v>
      </c>
      <c r="L163" t="s">
        <v>14</v>
      </c>
      <c r="M163" t="s">
        <v>11</v>
      </c>
      <c r="N163" t="s">
        <v>27</v>
      </c>
      <c r="O163" t="s">
        <v>23</v>
      </c>
      <c r="P163">
        <v>45</v>
      </c>
      <c r="Q163" t="s">
        <v>12</v>
      </c>
      <c r="R163" t="str">
        <f t="shared" si="16"/>
        <v>3_4__168_07/12/2022_2022_MonMon_CRC_TR_PW_Sip_A_45_Nutrients</v>
      </c>
    </row>
    <row r="164" spans="1:18" x14ac:dyDescent="0.25">
      <c r="A164">
        <v>3</v>
      </c>
      <c r="B164">
        <v>5</v>
      </c>
      <c r="D164">
        <v>169</v>
      </c>
      <c r="E164" s="1">
        <v>44754</v>
      </c>
      <c r="F164" s="11">
        <f t="shared" si="15"/>
        <v>44754</v>
      </c>
      <c r="G164">
        <f t="shared" si="13"/>
        <v>2022</v>
      </c>
      <c r="H164">
        <f t="shared" si="14"/>
        <v>7</v>
      </c>
      <c r="I164">
        <f t="shared" si="12"/>
        <v>12</v>
      </c>
      <c r="J164" t="s">
        <v>10</v>
      </c>
      <c r="K164" t="s">
        <v>16</v>
      </c>
      <c r="L164" t="s">
        <v>14</v>
      </c>
      <c r="M164" t="s">
        <v>11</v>
      </c>
      <c r="N164" t="s">
        <v>27</v>
      </c>
      <c r="O164" t="s">
        <v>24</v>
      </c>
      <c r="P164">
        <v>45</v>
      </c>
      <c r="Q164" t="s">
        <v>12</v>
      </c>
      <c r="R164" t="str">
        <f t="shared" si="16"/>
        <v>3_5__169_07/12/2022_2022_MonMon_CRC_TR_PW_Sip_B_45_Nutrients</v>
      </c>
    </row>
    <row r="165" spans="1:18" x14ac:dyDescent="0.25">
      <c r="A165">
        <v>3</v>
      </c>
      <c r="B165">
        <v>6</v>
      </c>
      <c r="D165">
        <v>170</v>
      </c>
      <c r="E165" s="1">
        <v>44754</v>
      </c>
      <c r="F165" s="11">
        <f t="shared" si="15"/>
        <v>44754</v>
      </c>
      <c r="G165">
        <f t="shared" si="13"/>
        <v>2022</v>
      </c>
      <c r="H165">
        <f t="shared" si="14"/>
        <v>7</v>
      </c>
      <c r="I165">
        <f t="shared" si="12"/>
        <v>12</v>
      </c>
      <c r="J165" t="s">
        <v>10</v>
      </c>
      <c r="K165" t="s">
        <v>16</v>
      </c>
      <c r="L165" t="s">
        <v>14</v>
      </c>
      <c r="M165" t="s">
        <v>11</v>
      </c>
      <c r="N165" t="s">
        <v>27</v>
      </c>
      <c r="O165" t="s">
        <v>24</v>
      </c>
      <c r="P165">
        <v>45</v>
      </c>
      <c r="Q165" t="s">
        <v>12</v>
      </c>
      <c r="R165" t="str">
        <f t="shared" si="16"/>
        <v>3_6__170_07/12/2022_2022_MonMon_CRC_TR_PW_Sip_B_45_Nutrients</v>
      </c>
    </row>
    <row r="166" spans="1:18" x14ac:dyDescent="0.25">
      <c r="A166">
        <v>3</v>
      </c>
      <c r="B166">
        <v>7</v>
      </c>
      <c r="D166">
        <v>171</v>
      </c>
      <c r="E166" s="1">
        <v>44754</v>
      </c>
      <c r="F166" s="11">
        <f t="shared" si="15"/>
        <v>44754</v>
      </c>
      <c r="G166">
        <f t="shared" si="13"/>
        <v>2022</v>
      </c>
      <c r="H166">
        <f t="shared" si="14"/>
        <v>7</v>
      </c>
      <c r="I166">
        <f t="shared" si="12"/>
        <v>12</v>
      </c>
      <c r="J166" t="s">
        <v>10</v>
      </c>
      <c r="K166" t="s">
        <v>16</v>
      </c>
      <c r="L166" t="s">
        <v>14</v>
      </c>
      <c r="M166" t="s">
        <v>11</v>
      </c>
      <c r="N166" t="s">
        <v>27</v>
      </c>
      <c r="O166" t="s">
        <v>24</v>
      </c>
      <c r="P166">
        <v>45</v>
      </c>
      <c r="Q166" t="s">
        <v>12</v>
      </c>
      <c r="R166" t="str">
        <f t="shared" si="16"/>
        <v>3_7__171_07/12/2022_2022_MonMon_CRC_TR_PW_Sip_B_45_Nutrients</v>
      </c>
    </row>
    <row r="167" spans="1:18" x14ac:dyDescent="0.25">
      <c r="A167">
        <v>3</v>
      </c>
      <c r="B167">
        <v>11</v>
      </c>
      <c r="D167">
        <v>172</v>
      </c>
      <c r="E167" s="1">
        <v>44754</v>
      </c>
      <c r="F167" s="11">
        <f t="shared" si="15"/>
        <v>44754</v>
      </c>
      <c r="G167">
        <f t="shared" si="13"/>
        <v>2022</v>
      </c>
      <c r="H167">
        <f t="shared" si="14"/>
        <v>7</v>
      </c>
      <c r="I167">
        <f t="shared" si="12"/>
        <v>12</v>
      </c>
      <c r="J167" t="s">
        <v>10</v>
      </c>
      <c r="K167" t="s">
        <v>16</v>
      </c>
      <c r="L167" t="s">
        <v>14</v>
      </c>
      <c r="M167" t="s">
        <v>11</v>
      </c>
      <c r="N167" t="s">
        <v>15</v>
      </c>
      <c r="O167" t="s">
        <v>23</v>
      </c>
      <c r="P167">
        <v>20</v>
      </c>
      <c r="Q167" t="s">
        <v>12</v>
      </c>
      <c r="R167" t="str">
        <f t="shared" si="16"/>
        <v>3_11__172_07/12/2022_2022_MonMon_CRC_TR_PW_Lys_A_20_Nutrients</v>
      </c>
    </row>
    <row r="168" spans="1:18" x14ac:dyDescent="0.25">
      <c r="A168">
        <v>3</v>
      </c>
      <c r="B168">
        <v>12</v>
      </c>
      <c r="D168">
        <v>173</v>
      </c>
      <c r="E168" s="1">
        <v>44754</v>
      </c>
      <c r="F168" s="11">
        <f t="shared" si="15"/>
        <v>44754</v>
      </c>
      <c r="G168">
        <f t="shared" si="13"/>
        <v>2022</v>
      </c>
      <c r="H168">
        <f t="shared" si="14"/>
        <v>7</v>
      </c>
      <c r="I168">
        <f t="shared" si="12"/>
        <v>12</v>
      </c>
      <c r="J168" t="s">
        <v>10</v>
      </c>
      <c r="K168" t="s">
        <v>16</v>
      </c>
      <c r="L168" t="s">
        <v>14</v>
      </c>
      <c r="M168" t="s">
        <v>11</v>
      </c>
      <c r="N168" t="s">
        <v>15</v>
      </c>
      <c r="O168" t="s">
        <v>24</v>
      </c>
      <c r="P168">
        <v>10</v>
      </c>
      <c r="Q168" t="s">
        <v>12</v>
      </c>
      <c r="R168" t="str">
        <f t="shared" si="16"/>
        <v>3_12__173_07/12/2022_2022_MonMon_CRC_TR_PW_Lys_B_10_Nutrients</v>
      </c>
    </row>
    <row r="169" spans="1:18" x14ac:dyDescent="0.25">
      <c r="A169">
        <v>3</v>
      </c>
      <c r="B169">
        <v>13</v>
      </c>
      <c r="D169">
        <v>174</v>
      </c>
      <c r="E169" s="1">
        <v>44754</v>
      </c>
      <c r="F169" s="11">
        <f t="shared" si="15"/>
        <v>44754</v>
      </c>
      <c r="G169">
        <f t="shared" si="13"/>
        <v>2022</v>
      </c>
      <c r="H169">
        <f t="shared" si="14"/>
        <v>7</v>
      </c>
      <c r="I169">
        <f t="shared" si="12"/>
        <v>12</v>
      </c>
      <c r="J169" t="s">
        <v>10</v>
      </c>
      <c r="K169" t="s">
        <v>16</v>
      </c>
      <c r="L169" t="s">
        <v>14</v>
      </c>
      <c r="M169" t="s">
        <v>11</v>
      </c>
      <c r="N169" t="s">
        <v>15</v>
      </c>
      <c r="O169" t="s">
        <v>24</v>
      </c>
      <c r="P169">
        <v>20</v>
      </c>
      <c r="Q169" t="s">
        <v>12</v>
      </c>
      <c r="R169" t="str">
        <f t="shared" si="16"/>
        <v>3_13__174_07/12/2022_2022_MonMon_CRC_TR_PW_Lys_B_20_Nutrients</v>
      </c>
    </row>
    <row r="170" spans="1:18" x14ac:dyDescent="0.25">
      <c r="A170">
        <v>3</v>
      </c>
      <c r="B170">
        <v>14</v>
      </c>
      <c r="D170">
        <v>175</v>
      </c>
      <c r="E170" s="1">
        <v>44754</v>
      </c>
      <c r="F170" s="11">
        <f t="shared" si="15"/>
        <v>44754</v>
      </c>
      <c r="G170">
        <f t="shared" si="13"/>
        <v>2022</v>
      </c>
      <c r="H170">
        <f t="shared" si="14"/>
        <v>7</v>
      </c>
      <c r="I170">
        <f t="shared" si="12"/>
        <v>12</v>
      </c>
      <c r="J170" t="s">
        <v>10</v>
      </c>
      <c r="K170" t="s">
        <v>16</v>
      </c>
      <c r="L170" t="s">
        <v>14</v>
      </c>
      <c r="M170" t="s">
        <v>11</v>
      </c>
      <c r="N170" t="s">
        <v>15</v>
      </c>
      <c r="O170" t="s">
        <v>25</v>
      </c>
      <c r="P170">
        <v>10</v>
      </c>
      <c r="Q170" t="s">
        <v>12</v>
      </c>
      <c r="R170" t="str">
        <f t="shared" si="16"/>
        <v>3_14__175_07/12/2022_2022_MonMon_CRC_TR_PW_Lys_C_10_Nutrients</v>
      </c>
    </row>
    <row r="171" spans="1:18" x14ac:dyDescent="0.25">
      <c r="A171">
        <v>3</v>
      </c>
      <c r="B171">
        <v>15</v>
      </c>
      <c r="D171">
        <v>176</v>
      </c>
      <c r="E171" s="1">
        <v>44754</v>
      </c>
      <c r="F171" s="11">
        <f t="shared" si="15"/>
        <v>44754</v>
      </c>
      <c r="G171">
        <f t="shared" si="13"/>
        <v>2022</v>
      </c>
      <c r="H171">
        <f t="shared" si="14"/>
        <v>7</v>
      </c>
      <c r="I171">
        <f t="shared" si="12"/>
        <v>12</v>
      </c>
      <c r="J171" t="s">
        <v>10</v>
      </c>
      <c r="K171" t="s">
        <v>16</v>
      </c>
      <c r="L171" t="s">
        <v>14</v>
      </c>
      <c r="M171" t="s">
        <v>11</v>
      </c>
      <c r="N171" t="s">
        <v>15</v>
      </c>
      <c r="Q171" t="s">
        <v>12</v>
      </c>
      <c r="R171" t="str">
        <f t="shared" si="16"/>
        <v>3_15__176_07/12/2022_2022_MonMon_CRC_TR_PW_Lys___Nutrients</v>
      </c>
    </row>
    <row r="172" spans="1:18" x14ac:dyDescent="0.25">
      <c r="A172">
        <v>3</v>
      </c>
      <c r="B172">
        <v>16</v>
      </c>
      <c r="D172">
        <v>177</v>
      </c>
      <c r="E172" s="1">
        <v>44754</v>
      </c>
      <c r="F172" s="11">
        <f t="shared" si="15"/>
        <v>44754</v>
      </c>
      <c r="G172">
        <f t="shared" si="13"/>
        <v>2022</v>
      </c>
      <c r="H172">
        <f t="shared" si="14"/>
        <v>7</v>
      </c>
      <c r="I172">
        <f t="shared" si="12"/>
        <v>12</v>
      </c>
      <c r="J172" t="s">
        <v>10</v>
      </c>
      <c r="K172" t="s">
        <v>8</v>
      </c>
      <c r="L172" t="s">
        <v>14</v>
      </c>
      <c r="M172" t="s">
        <v>11</v>
      </c>
      <c r="N172" t="s">
        <v>15</v>
      </c>
      <c r="O172" t="s">
        <v>23</v>
      </c>
      <c r="P172">
        <v>45</v>
      </c>
      <c r="Q172" t="s">
        <v>12</v>
      </c>
      <c r="R172" t="str">
        <f t="shared" si="16"/>
        <v>3_16__177_07/12/2022_2022_MonMon_OWC_TR_PW_Lys_A_45_Nutrients</v>
      </c>
    </row>
    <row r="173" spans="1:18" x14ac:dyDescent="0.25">
      <c r="A173">
        <v>3</v>
      </c>
      <c r="B173">
        <v>17</v>
      </c>
      <c r="D173">
        <v>178</v>
      </c>
      <c r="E173" s="1">
        <v>44754</v>
      </c>
      <c r="F173" s="11">
        <f t="shared" si="15"/>
        <v>44754</v>
      </c>
      <c r="G173">
        <f t="shared" si="13"/>
        <v>2022</v>
      </c>
      <c r="H173">
        <f t="shared" si="14"/>
        <v>7</v>
      </c>
      <c r="I173">
        <f t="shared" si="12"/>
        <v>12</v>
      </c>
      <c r="J173" t="s">
        <v>10</v>
      </c>
      <c r="K173" t="s">
        <v>8</v>
      </c>
      <c r="L173" t="s">
        <v>14</v>
      </c>
      <c r="M173" t="s">
        <v>11</v>
      </c>
      <c r="N173" t="s">
        <v>15</v>
      </c>
      <c r="O173" t="s">
        <v>24</v>
      </c>
      <c r="P173">
        <v>45</v>
      </c>
      <c r="Q173" t="s">
        <v>12</v>
      </c>
      <c r="R173" t="str">
        <f t="shared" si="16"/>
        <v>3_17__178_07/12/2022_2022_MonMon_OWC_TR_PW_Lys_B_45_Nutrients</v>
      </c>
    </row>
    <row r="174" spans="1:18" x14ac:dyDescent="0.25">
      <c r="A174">
        <v>3</v>
      </c>
      <c r="B174">
        <v>21</v>
      </c>
      <c r="D174">
        <v>179</v>
      </c>
      <c r="E174" s="1">
        <v>44756</v>
      </c>
      <c r="F174" s="11">
        <f t="shared" si="15"/>
        <v>44756</v>
      </c>
      <c r="G174">
        <f t="shared" si="13"/>
        <v>2022</v>
      </c>
      <c r="H174">
        <f t="shared" si="14"/>
        <v>7</v>
      </c>
      <c r="I174">
        <f t="shared" si="12"/>
        <v>14</v>
      </c>
      <c r="J174" t="s">
        <v>10</v>
      </c>
      <c r="K174" t="s">
        <v>8</v>
      </c>
      <c r="L174" t="s">
        <v>9</v>
      </c>
      <c r="M174" t="s">
        <v>11</v>
      </c>
      <c r="N174" t="s">
        <v>27</v>
      </c>
      <c r="O174" t="s">
        <v>23</v>
      </c>
      <c r="P174">
        <v>10</v>
      </c>
      <c r="Q174" t="s">
        <v>12</v>
      </c>
      <c r="R174" t="str">
        <f t="shared" si="16"/>
        <v>3_21__179_07/14/2022_2022_MonMon_OWC_W_PW_Sip_A_10_Nutrients</v>
      </c>
    </row>
    <row r="175" spans="1:18" x14ac:dyDescent="0.25">
      <c r="A175">
        <v>3</v>
      </c>
      <c r="B175">
        <v>22</v>
      </c>
      <c r="D175">
        <v>180</v>
      </c>
      <c r="E175" s="1">
        <v>44756</v>
      </c>
      <c r="F175" s="11">
        <f t="shared" si="15"/>
        <v>44756</v>
      </c>
      <c r="G175">
        <f t="shared" si="13"/>
        <v>2022</v>
      </c>
      <c r="H175">
        <f t="shared" si="14"/>
        <v>7</v>
      </c>
      <c r="I175">
        <f t="shared" si="12"/>
        <v>14</v>
      </c>
      <c r="J175" t="s">
        <v>10</v>
      </c>
      <c r="K175" t="s">
        <v>8</v>
      </c>
      <c r="L175" t="s">
        <v>9</v>
      </c>
      <c r="M175" t="s">
        <v>11</v>
      </c>
      <c r="N175" t="s">
        <v>27</v>
      </c>
      <c r="O175" t="s">
        <v>23</v>
      </c>
      <c r="P175">
        <v>20</v>
      </c>
      <c r="Q175" t="s">
        <v>12</v>
      </c>
      <c r="R175" t="str">
        <f t="shared" si="16"/>
        <v>3_22__180_07/14/2022_2022_MonMon_OWC_W_PW_Sip_A_20_Nutrients</v>
      </c>
    </row>
    <row r="176" spans="1:18" x14ac:dyDescent="0.25">
      <c r="A176">
        <v>3</v>
      </c>
      <c r="B176">
        <v>23</v>
      </c>
      <c r="D176">
        <v>181</v>
      </c>
      <c r="E176" s="1">
        <v>44756</v>
      </c>
      <c r="F176" s="11">
        <f t="shared" si="15"/>
        <v>44756</v>
      </c>
      <c r="G176">
        <f t="shared" si="13"/>
        <v>2022</v>
      </c>
      <c r="H176">
        <f t="shared" si="14"/>
        <v>7</v>
      </c>
      <c r="I176">
        <f t="shared" si="12"/>
        <v>14</v>
      </c>
      <c r="J176" t="s">
        <v>10</v>
      </c>
      <c r="K176" t="s">
        <v>8</v>
      </c>
      <c r="L176" t="s">
        <v>9</v>
      </c>
      <c r="M176" t="s">
        <v>11</v>
      </c>
      <c r="N176" t="s">
        <v>27</v>
      </c>
      <c r="O176" t="s">
        <v>23</v>
      </c>
      <c r="P176">
        <v>45</v>
      </c>
      <c r="Q176" t="s">
        <v>12</v>
      </c>
      <c r="R176" t="str">
        <f t="shared" si="16"/>
        <v>3_23__181_07/14/2022_2022_MonMon_OWC_W_PW_Sip_A_45_Nutrients</v>
      </c>
    </row>
    <row r="177" spans="1:18" x14ac:dyDescent="0.25">
      <c r="A177">
        <v>3</v>
      </c>
      <c r="B177">
        <v>24</v>
      </c>
      <c r="D177">
        <v>182</v>
      </c>
      <c r="E177" s="1">
        <v>44756</v>
      </c>
      <c r="F177" s="11">
        <f t="shared" si="15"/>
        <v>44756</v>
      </c>
      <c r="G177">
        <f t="shared" si="13"/>
        <v>2022</v>
      </c>
      <c r="H177">
        <f t="shared" si="14"/>
        <v>7</v>
      </c>
      <c r="I177">
        <f t="shared" si="12"/>
        <v>14</v>
      </c>
      <c r="J177" t="s">
        <v>10</v>
      </c>
      <c r="K177" t="s">
        <v>8</v>
      </c>
      <c r="L177" t="s">
        <v>9</v>
      </c>
      <c r="M177" t="s">
        <v>11</v>
      </c>
      <c r="N177" t="s">
        <v>27</v>
      </c>
      <c r="O177" t="s">
        <v>24</v>
      </c>
      <c r="P177">
        <v>10</v>
      </c>
      <c r="Q177" t="s">
        <v>12</v>
      </c>
      <c r="R177" t="str">
        <f t="shared" si="16"/>
        <v>3_24__182_07/14/2022_2022_MonMon_OWC_W_PW_Sip_B_10_Nutrients</v>
      </c>
    </row>
    <row r="178" spans="1:18" x14ac:dyDescent="0.25">
      <c r="A178">
        <v>3</v>
      </c>
      <c r="B178">
        <v>25</v>
      </c>
      <c r="D178">
        <v>183</v>
      </c>
      <c r="E178" s="1">
        <v>44756</v>
      </c>
      <c r="F178" s="11">
        <f t="shared" si="15"/>
        <v>44756</v>
      </c>
      <c r="G178">
        <f t="shared" si="13"/>
        <v>2022</v>
      </c>
      <c r="H178">
        <f t="shared" si="14"/>
        <v>7</v>
      </c>
      <c r="I178">
        <f t="shared" si="12"/>
        <v>14</v>
      </c>
      <c r="J178" t="s">
        <v>10</v>
      </c>
      <c r="K178" t="s">
        <v>8</v>
      </c>
      <c r="L178" t="s">
        <v>9</v>
      </c>
      <c r="M178" t="s">
        <v>11</v>
      </c>
      <c r="N178" t="s">
        <v>27</v>
      </c>
      <c r="O178" t="s">
        <v>24</v>
      </c>
      <c r="P178">
        <v>20</v>
      </c>
      <c r="Q178" t="s">
        <v>12</v>
      </c>
      <c r="R178" t="str">
        <f t="shared" si="16"/>
        <v>3_25__183_07/14/2022_2022_MonMon_OWC_W_PW_Sip_B_20_Nutrients</v>
      </c>
    </row>
    <row r="179" spans="1:18" x14ac:dyDescent="0.25">
      <c r="A179">
        <v>3</v>
      </c>
      <c r="B179">
        <v>26</v>
      </c>
      <c r="D179">
        <v>184</v>
      </c>
      <c r="E179" s="1">
        <v>44756</v>
      </c>
      <c r="F179" s="11">
        <f t="shared" si="15"/>
        <v>44756</v>
      </c>
      <c r="G179">
        <f t="shared" si="13"/>
        <v>2022</v>
      </c>
      <c r="H179">
        <f t="shared" si="14"/>
        <v>7</v>
      </c>
      <c r="I179">
        <f t="shared" si="12"/>
        <v>14</v>
      </c>
      <c r="J179" t="s">
        <v>10</v>
      </c>
      <c r="K179" t="s">
        <v>8</v>
      </c>
      <c r="L179" t="s">
        <v>9</v>
      </c>
      <c r="M179" t="s">
        <v>11</v>
      </c>
      <c r="N179" t="s">
        <v>27</v>
      </c>
      <c r="O179" t="s">
        <v>24</v>
      </c>
      <c r="P179">
        <v>45</v>
      </c>
      <c r="Q179" t="s">
        <v>12</v>
      </c>
      <c r="R179" t="str">
        <f t="shared" si="16"/>
        <v>3_26__184_07/14/2022_2022_MonMon_OWC_W_PW_Sip_B_45_Nutrients</v>
      </c>
    </row>
    <row r="180" spans="1:18" x14ac:dyDescent="0.25">
      <c r="A180">
        <v>3</v>
      </c>
      <c r="B180">
        <v>27</v>
      </c>
      <c r="D180">
        <v>185</v>
      </c>
      <c r="E180" s="1">
        <v>44756</v>
      </c>
      <c r="F180" s="11">
        <f t="shared" si="15"/>
        <v>44756</v>
      </c>
      <c r="G180">
        <f t="shared" si="13"/>
        <v>2022</v>
      </c>
      <c r="H180">
        <f t="shared" si="14"/>
        <v>7</v>
      </c>
      <c r="I180">
        <f t="shared" si="12"/>
        <v>14</v>
      </c>
      <c r="J180" t="s">
        <v>10</v>
      </c>
      <c r="K180" t="s">
        <v>8</v>
      </c>
      <c r="L180" t="s">
        <v>9</v>
      </c>
      <c r="M180" t="s">
        <v>11</v>
      </c>
      <c r="N180" t="s">
        <v>27</v>
      </c>
      <c r="O180" t="s">
        <v>25</v>
      </c>
      <c r="P180">
        <v>10</v>
      </c>
      <c r="Q180" t="s">
        <v>12</v>
      </c>
      <c r="R180" t="str">
        <f t="shared" si="16"/>
        <v>3_27__185_07/14/2022_2022_MonMon_OWC_W_PW_Sip_C_10_Nutrients</v>
      </c>
    </row>
    <row r="181" spans="1:18" x14ac:dyDescent="0.25">
      <c r="A181">
        <v>3</v>
      </c>
      <c r="B181">
        <v>28</v>
      </c>
      <c r="D181">
        <v>186</v>
      </c>
      <c r="E181" s="1">
        <v>44756</v>
      </c>
      <c r="F181" s="11">
        <f t="shared" si="15"/>
        <v>44756</v>
      </c>
      <c r="G181">
        <f t="shared" si="13"/>
        <v>2022</v>
      </c>
      <c r="H181">
        <f t="shared" si="14"/>
        <v>7</v>
      </c>
      <c r="I181">
        <f t="shared" si="12"/>
        <v>14</v>
      </c>
      <c r="J181" t="s">
        <v>10</v>
      </c>
      <c r="K181" t="s">
        <v>8</v>
      </c>
      <c r="L181" t="s">
        <v>9</v>
      </c>
      <c r="M181" t="s">
        <v>11</v>
      </c>
      <c r="N181" t="s">
        <v>27</v>
      </c>
      <c r="O181" t="s">
        <v>25</v>
      </c>
      <c r="P181">
        <v>20</v>
      </c>
      <c r="Q181" t="s">
        <v>12</v>
      </c>
      <c r="R181" t="str">
        <f t="shared" si="16"/>
        <v>3_28__186_07/14/2022_2022_MonMon_OWC_W_PW_Sip_C_20_Nutrients</v>
      </c>
    </row>
    <row r="182" spans="1:18" x14ac:dyDescent="0.25">
      <c r="A182">
        <v>3</v>
      </c>
      <c r="B182">
        <v>29</v>
      </c>
      <c r="D182">
        <v>187</v>
      </c>
      <c r="E182" s="1">
        <v>44756</v>
      </c>
      <c r="F182" s="11">
        <f t="shared" si="15"/>
        <v>44756</v>
      </c>
      <c r="G182">
        <f t="shared" si="13"/>
        <v>2022</v>
      </c>
      <c r="H182">
        <f t="shared" si="14"/>
        <v>7</v>
      </c>
      <c r="I182">
        <f t="shared" si="12"/>
        <v>14</v>
      </c>
      <c r="J182" t="s">
        <v>10</v>
      </c>
      <c r="K182" t="s">
        <v>8</v>
      </c>
      <c r="L182" t="s">
        <v>9</v>
      </c>
      <c r="M182" t="s">
        <v>11</v>
      </c>
      <c r="N182" t="s">
        <v>27</v>
      </c>
      <c r="O182" t="s">
        <v>25</v>
      </c>
      <c r="P182">
        <v>45</v>
      </c>
      <c r="Q182" t="s">
        <v>12</v>
      </c>
      <c r="R182" t="str">
        <f t="shared" si="16"/>
        <v>3_29__187_07/14/2022_2022_MonMon_OWC_W_PW_Sip_C_45_Nutrients</v>
      </c>
    </row>
    <row r="183" spans="1:18" x14ac:dyDescent="0.25">
      <c r="A183">
        <v>3</v>
      </c>
      <c r="B183">
        <v>30</v>
      </c>
      <c r="D183">
        <v>188</v>
      </c>
      <c r="E183" s="1">
        <v>44756</v>
      </c>
      <c r="F183" s="11">
        <f t="shared" si="15"/>
        <v>44756</v>
      </c>
      <c r="G183">
        <f t="shared" si="13"/>
        <v>2022</v>
      </c>
      <c r="H183">
        <f t="shared" si="14"/>
        <v>7</v>
      </c>
      <c r="I183">
        <f t="shared" si="12"/>
        <v>14</v>
      </c>
      <c r="J183" t="s">
        <v>10</v>
      </c>
      <c r="K183" t="s">
        <v>8</v>
      </c>
      <c r="L183" t="s">
        <v>9</v>
      </c>
      <c r="M183" t="s">
        <v>11</v>
      </c>
      <c r="N183" t="s">
        <v>15</v>
      </c>
      <c r="O183" t="s">
        <v>25</v>
      </c>
      <c r="P183">
        <v>45</v>
      </c>
      <c r="Q183" t="s">
        <v>12</v>
      </c>
      <c r="R183" t="str">
        <f t="shared" si="16"/>
        <v>3_30__188_07/14/2022_2022_MonMon_OWC_W_PW_Lys_C_45_Nutrients</v>
      </c>
    </row>
    <row r="184" spans="1:18" x14ac:dyDescent="0.25">
      <c r="A184">
        <v>3</v>
      </c>
      <c r="B184">
        <v>31</v>
      </c>
      <c r="D184">
        <v>189</v>
      </c>
      <c r="E184" s="1">
        <v>44761</v>
      </c>
      <c r="F184" s="11">
        <f t="shared" si="15"/>
        <v>44761</v>
      </c>
      <c r="G184">
        <f t="shared" si="13"/>
        <v>2022</v>
      </c>
      <c r="H184">
        <f t="shared" si="14"/>
        <v>7</v>
      </c>
      <c r="I184">
        <f t="shared" ref="I184:I247" si="17">DAY(E184)</f>
        <v>19</v>
      </c>
      <c r="J184" t="s">
        <v>10</v>
      </c>
      <c r="K184" t="s">
        <v>13</v>
      </c>
      <c r="L184" t="s">
        <v>9</v>
      </c>
      <c r="M184" t="s">
        <v>11</v>
      </c>
      <c r="N184" t="s">
        <v>27</v>
      </c>
      <c r="O184" t="s">
        <v>23</v>
      </c>
      <c r="P184">
        <v>10</v>
      </c>
      <c r="Q184" t="s">
        <v>12</v>
      </c>
      <c r="R184" t="str">
        <f t="shared" si="16"/>
        <v>3_31__189_07/19/2022_2022_MonMon_PTR_W_PW_Sip_A_10_Nutrients</v>
      </c>
    </row>
    <row r="185" spans="1:18" x14ac:dyDescent="0.25">
      <c r="A185">
        <v>3</v>
      </c>
      <c r="B185">
        <v>32</v>
      </c>
      <c r="D185">
        <v>190</v>
      </c>
      <c r="E185" s="1">
        <v>44761</v>
      </c>
      <c r="F185" s="11">
        <f t="shared" si="15"/>
        <v>44761</v>
      </c>
      <c r="G185">
        <f t="shared" si="13"/>
        <v>2022</v>
      </c>
      <c r="H185">
        <f t="shared" si="14"/>
        <v>7</v>
      </c>
      <c r="I185">
        <f t="shared" si="17"/>
        <v>19</v>
      </c>
      <c r="J185" t="s">
        <v>10</v>
      </c>
      <c r="K185" t="s">
        <v>13</v>
      </c>
      <c r="L185" t="s">
        <v>9</v>
      </c>
      <c r="M185" t="s">
        <v>11</v>
      </c>
      <c r="N185" t="s">
        <v>27</v>
      </c>
      <c r="O185" t="s">
        <v>23</v>
      </c>
      <c r="P185">
        <v>20</v>
      </c>
      <c r="Q185" t="s">
        <v>12</v>
      </c>
      <c r="R185" t="str">
        <f t="shared" si="16"/>
        <v>3_32__190_07/19/2022_2022_MonMon_PTR_W_PW_Sip_A_20_Nutrients</v>
      </c>
    </row>
    <row r="186" spans="1:18" x14ac:dyDescent="0.25">
      <c r="A186">
        <v>3</v>
      </c>
      <c r="B186">
        <v>33</v>
      </c>
      <c r="D186">
        <v>191</v>
      </c>
      <c r="E186" s="1">
        <v>44761</v>
      </c>
      <c r="F186" s="11">
        <f t="shared" si="15"/>
        <v>44761</v>
      </c>
      <c r="G186">
        <f t="shared" si="13"/>
        <v>2022</v>
      </c>
      <c r="H186">
        <f t="shared" si="14"/>
        <v>7</v>
      </c>
      <c r="I186">
        <f t="shared" si="17"/>
        <v>19</v>
      </c>
      <c r="J186" t="s">
        <v>10</v>
      </c>
      <c r="K186" t="s">
        <v>13</v>
      </c>
      <c r="L186" t="s">
        <v>9</v>
      </c>
      <c r="M186" t="s">
        <v>11</v>
      </c>
      <c r="N186" t="s">
        <v>27</v>
      </c>
      <c r="O186" t="s">
        <v>23</v>
      </c>
      <c r="P186">
        <v>45</v>
      </c>
      <c r="Q186" t="s">
        <v>12</v>
      </c>
      <c r="R186" t="str">
        <f t="shared" si="16"/>
        <v>3_33__191_07/19/2022_2022_MonMon_PTR_W_PW_Sip_A_45_Nutrients</v>
      </c>
    </row>
    <row r="187" spans="1:18" x14ac:dyDescent="0.25">
      <c r="A187">
        <v>3</v>
      </c>
      <c r="B187">
        <v>34</v>
      </c>
      <c r="D187">
        <v>192</v>
      </c>
      <c r="E187" s="1">
        <v>44761</v>
      </c>
      <c r="F187" s="11">
        <f t="shared" si="15"/>
        <v>44761</v>
      </c>
      <c r="G187">
        <f t="shared" si="13"/>
        <v>2022</v>
      </c>
      <c r="H187">
        <f t="shared" si="14"/>
        <v>7</v>
      </c>
      <c r="I187">
        <f t="shared" si="17"/>
        <v>19</v>
      </c>
      <c r="J187" t="s">
        <v>10</v>
      </c>
      <c r="K187" t="s">
        <v>13</v>
      </c>
      <c r="L187" t="s">
        <v>9</v>
      </c>
      <c r="M187" t="s">
        <v>11</v>
      </c>
      <c r="N187" t="s">
        <v>27</v>
      </c>
      <c r="O187" t="s">
        <v>24</v>
      </c>
      <c r="P187">
        <v>10</v>
      </c>
      <c r="Q187" t="s">
        <v>12</v>
      </c>
      <c r="R187" t="str">
        <f t="shared" si="16"/>
        <v>3_34__192_07/19/2022_2022_MonMon_PTR_W_PW_Sip_B_10_Nutrients</v>
      </c>
    </row>
    <row r="188" spans="1:18" x14ac:dyDescent="0.25">
      <c r="A188">
        <v>3</v>
      </c>
      <c r="B188">
        <v>35</v>
      </c>
      <c r="D188">
        <v>193</v>
      </c>
      <c r="E188" s="1">
        <v>44761</v>
      </c>
      <c r="F188" s="11">
        <f t="shared" si="15"/>
        <v>44761</v>
      </c>
      <c r="G188">
        <f t="shared" si="13"/>
        <v>2022</v>
      </c>
      <c r="H188">
        <f t="shared" si="14"/>
        <v>7</v>
      </c>
      <c r="I188">
        <f t="shared" si="17"/>
        <v>19</v>
      </c>
      <c r="J188" t="s">
        <v>10</v>
      </c>
      <c r="K188" t="s">
        <v>13</v>
      </c>
      <c r="L188" t="s">
        <v>9</v>
      </c>
      <c r="M188" t="s">
        <v>11</v>
      </c>
      <c r="N188" t="s">
        <v>27</v>
      </c>
      <c r="O188" t="s">
        <v>24</v>
      </c>
      <c r="P188">
        <v>20</v>
      </c>
      <c r="Q188" t="s">
        <v>12</v>
      </c>
      <c r="R188" t="str">
        <f t="shared" si="16"/>
        <v>3_35__193_07/19/2022_2022_MonMon_PTR_W_PW_Sip_B_20_Nutrients</v>
      </c>
    </row>
    <row r="189" spans="1:18" x14ac:dyDescent="0.25">
      <c r="A189">
        <v>3</v>
      </c>
      <c r="B189">
        <v>36</v>
      </c>
      <c r="D189">
        <v>194</v>
      </c>
      <c r="E189" s="1">
        <v>44761</v>
      </c>
      <c r="F189" s="11">
        <f t="shared" si="15"/>
        <v>44761</v>
      </c>
      <c r="G189">
        <f t="shared" si="13"/>
        <v>2022</v>
      </c>
      <c r="H189">
        <f t="shared" si="14"/>
        <v>7</v>
      </c>
      <c r="I189">
        <f t="shared" si="17"/>
        <v>19</v>
      </c>
      <c r="J189" t="s">
        <v>10</v>
      </c>
      <c r="K189" t="s">
        <v>13</v>
      </c>
      <c r="L189" t="s">
        <v>9</v>
      </c>
      <c r="M189" t="s">
        <v>11</v>
      </c>
      <c r="N189" t="s">
        <v>27</v>
      </c>
      <c r="O189" t="s">
        <v>24</v>
      </c>
      <c r="P189">
        <v>45</v>
      </c>
      <c r="Q189" t="s">
        <v>12</v>
      </c>
      <c r="R189" t="str">
        <f t="shared" si="16"/>
        <v>3_36__194_07/19/2022_2022_MonMon_PTR_W_PW_Sip_B_45_Nutrients</v>
      </c>
    </row>
    <row r="190" spans="1:18" x14ac:dyDescent="0.25">
      <c r="A190">
        <v>3</v>
      </c>
      <c r="B190">
        <v>37</v>
      </c>
      <c r="D190">
        <v>195</v>
      </c>
      <c r="E190" s="1">
        <v>44761</v>
      </c>
      <c r="F190" s="11">
        <f t="shared" si="15"/>
        <v>44761</v>
      </c>
      <c r="G190">
        <f t="shared" si="13"/>
        <v>2022</v>
      </c>
      <c r="H190">
        <f t="shared" si="14"/>
        <v>7</v>
      </c>
      <c r="I190">
        <f t="shared" si="17"/>
        <v>19</v>
      </c>
      <c r="J190" t="s">
        <v>10</v>
      </c>
      <c r="K190" t="s">
        <v>13</v>
      </c>
      <c r="L190" t="s">
        <v>9</v>
      </c>
      <c r="M190" t="s">
        <v>11</v>
      </c>
      <c r="N190" t="s">
        <v>27</v>
      </c>
      <c r="O190" t="s">
        <v>25</v>
      </c>
      <c r="P190">
        <v>10</v>
      </c>
      <c r="Q190" t="s">
        <v>12</v>
      </c>
      <c r="R190" t="str">
        <f t="shared" si="16"/>
        <v>3_37__195_07/19/2022_2022_MonMon_PTR_W_PW_Sip_C_10_Nutrients</v>
      </c>
    </row>
    <row r="191" spans="1:18" x14ac:dyDescent="0.25">
      <c r="A191">
        <v>3</v>
      </c>
      <c r="B191">
        <v>38</v>
      </c>
      <c r="D191">
        <v>196</v>
      </c>
      <c r="E191" s="1">
        <v>44761</v>
      </c>
      <c r="F191" s="11">
        <f t="shared" si="15"/>
        <v>44761</v>
      </c>
      <c r="G191">
        <f t="shared" si="13"/>
        <v>2022</v>
      </c>
      <c r="H191">
        <f t="shared" si="14"/>
        <v>7</v>
      </c>
      <c r="I191">
        <f t="shared" si="17"/>
        <v>19</v>
      </c>
      <c r="J191" t="s">
        <v>10</v>
      </c>
      <c r="K191" t="s">
        <v>13</v>
      </c>
      <c r="L191" t="s">
        <v>9</v>
      </c>
      <c r="M191" t="s">
        <v>11</v>
      </c>
      <c r="N191" t="s">
        <v>27</v>
      </c>
      <c r="O191" t="s">
        <v>25</v>
      </c>
      <c r="P191">
        <v>20</v>
      </c>
      <c r="Q191" t="s">
        <v>12</v>
      </c>
      <c r="R191" t="str">
        <f t="shared" si="16"/>
        <v>3_38__196_07/19/2022_2022_MonMon_PTR_W_PW_Sip_C_20_Nutrients</v>
      </c>
    </row>
    <row r="192" spans="1:18" x14ac:dyDescent="0.25">
      <c r="A192">
        <v>3</v>
      </c>
      <c r="B192">
        <v>39</v>
      </c>
      <c r="D192">
        <v>197</v>
      </c>
      <c r="E192" s="1">
        <v>44761</v>
      </c>
      <c r="F192" s="11">
        <f t="shared" si="15"/>
        <v>44761</v>
      </c>
      <c r="G192">
        <f t="shared" si="13"/>
        <v>2022</v>
      </c>
      <c r="H192">
        <f t="shared" si="14"/>
        <v>7</v>
      </c>
      <c r="I192">
        <f t="shared" si="17"/>
        <v>19</v>
      </c>
      <c r="J192" t="s">
        <v>10</v>
      </c>
      <c r="K192" t="s">
        <v>13</v>
      </c>
      <c r="L192" t="s">
        <v>9</v>
      </c>
      <c r="M192" t="s">
        <v>11</v>
      </c>
      <c r="N192" t="s">
        <v>27</v>
      </c>
      <c r="O192" t="s">
        <v>25</v>
      </c>
      <c r="P192">
        <v>45</v>
      </c>
      <c r="Q192" t="s">
        <v>12</v>
      </c>
      <c r="R192" t="str">
        <f t="shared" si="16"/>
        <v>3_39__197_07/19/2022_2022_MonMon_PTR_W_PW_Sip_C_45_Nutrients</v>
      </c>
    </row>
    <row r="193" spans="1:18" x14ac:dyDescent="0.25">
      <c r="A193">
        <v>3</v>
      </c>
      <c r="B193">
        <v>40</v>
      </c>
      <c r="D193">
        <v>198</v>
      </c>
      <c r="E193" s="1">
        <v>44761</v>
      </c>
      <c r="F193" s="11">
        <f t="shared" si="15"/>
        <v>44761</v>
      </c>
      <c r="G193">
        <f t="shared" si="13"/>
        <v>2022</v>
      </c>
      <c r="H193">
        <f t="shared" si="14"/>
        <v>7</v>
      </c>
      <c r="I193">
        <f t="shared" si="17"/>
        <v>19</v>
      </c>
      <c r="J193" t="s">
        <v>10</v>
      </c>
      <c r="K193" t="s">
        <v>13</v>
      </c>
      <c r="L193" t="s">
        <v>14</v>
      </c>
      <c r="M193" t="s">
        <v>11</v>
      </c>
      <c r="N193" t="s">
        <v>15</v>
      </c>
      <c r="O193" t="s">
        <v>25</v>
      </c>
      <c r="P193">
        <v>10</v>
      </c>
      <c r="Q193" t="s">
        <v>12</v>
      </c>
      <c r="R193" t="str">
        <f t="shared" si="16"/>
        <v>3_40__198_07/19/2022_2022_MonMon_PTR_TR_PW_Lys_C_10_Nutrients</v>
      </c>
    </row>
    <row r="194" spans="1:18" x14ac:dyDescent="0.25">
      <c r="A194">
        <v>3</v>
      </c>
      <c r="B194">
        <v>41</v>
      </c>
      <c r="D194">
        <v>199</v>
      </c>
      <c r="E194" s="1">
        <v>44762</v>
      </c>
      <c r="F194" s="11">
        <f t="shared" si="15"/>
        <v>44762</v>
      </c>
      <c r="G194">
        <f t="shared" ref="G194:G257" si="18">YEAR(E194)</f>
        <v>2022</v>
      </c>
      <c r="H194">
        <f t="shared" ref="H194:H257" si="19">MONTH(E194)</f>
        <v>7</v>
      </c>
      <c r="I194">
        <f t="shared" si="17"/>
        <v>20</v>
      </c>
      <c r="J194" t="s">
        <v>10</v>
      </c>
      <c r="K194" t="s">
        <v>16</v>
      </c>
      <c r="L194" t="s">
        <v>17</v>
      </c>
      <c r="M194" t="s">
        <v>11</v>
      </c>
      <c r="N194" t="s">
        <v>15</v>
      </c>
      <c r="O194" t="s">
        <v>23</v>
      </c>
      <c r="P194">
        <v>10</v>
      </c>
      <c r="Q194" t="s">
        <v>12</v>
      </c>
      <c r="R194" t="str">
        <f t="shared" si="16"/>
        <v>3_41__199_07/20/2022_2022_MonMon_CRC_UP_PW_Lys_A_10_Nutrients</v>
      </c>
    </row>
    <row r="195" spans="1:18" x14ac:dyDescent="0.25">
      <c r="A195">
        <v>3</v>
      </c>
      <c r="B195">
        <v>42</v>
      </c>
      <c r="D195">
        <v>200</v>
      </c>
      <c r="E195" s="1">
        <v>44762</v>
      </c>
      <c r="F195" s="11">
        <f t="shared" ref="F195:F258" si="20">E195</f>
        <v>44762</v>
      </c>
      <c r="G195">
        <f t="shared" si="18"/>
        <v>2022</v>
      </c>
      <c r="H195">
        <f t="shared" si="19"/>
        <v>7</v>
      </c>
      <c r="I195">
        <f t="shared" si="17"/>
        <v>20</v>
      </c>
      <c r="J195" t="s">
        <v>10</v>
      </c>
      <c r="K195" t="s">
        <v>16</v>
      </c>
      <c r="L195" t="s">
        <v>17</v>
      </c>
      <c r="M195" t="s">
        <v>11</v>
      </c>
      <c r="N195" t="s">
        <v>15</v>
      </c>
      <c r="O195" t="s">
        <v>23</v>
      </c>
      <c r="P195">
        <v>20</v>
      </c>
      <c r="Q195" t="s">
        <v>12</v>
      </c>
      <c r="R195" t="str">
        <f t="shared" ref="R195:R258" si="21">CONCATENATE(A195,"_",B195,"_", C195,"_",D195,"_",TEXT(E195, "mm/dd/yyyy"),"_",G195,"_",J195,"_",K195,"_",L195,"_",M195,"_",N195,"_",O195,"_",P195,"_",Q195)</f>
        <v>3_42__200_07/20/2022_2022_MonMon_CRC_UP_PW_Lys_A_20_Nutrients</v>
      </c>
    </row>
    <row r="196" spans="1:18" x14ac:dyDescent="0.25">
      <c r="A196">
        <v>3</v>
      </c>
      <c r="B196">
        <v>43</v>
      </c>
      <c r="D196">
        <v>201</v>
      </c>
      <c r="E196" s="1">
        <v>44762</v>
      </c>
      <c r="F196" s="11">
        <f t="shared" si="20"/>
        <v>44762</v>
      </c>
      <c r="G196">
        <f t="shared" si="18"/>
        <v>2022</v>
      </c>
      <c r="H196">
        <f t="shared" si="19"/>
        <v>7</v>
      </c>
      <c r="I196">
        <f t="shared" si="17"/>
        <v>20</v>
      </c>
      <c r="J196" t="s">
        <v>10</v>
      </c>
      <c r="K196" t="s">
        <v>16</v>
      </c>
      <c r="L196" t="s">
        <v>17</v>
      </c>
      <c r="M196" t="s">
        <v>11</v>
      </c>
      <c r="N196" t="s">
        <v>15</v>
      </c>
      <c r="O196" t="s">
        <v>25</v>
      </c>
      <c r="P196">
        <v>10</v>
      </c>
      <c r="Q196" t="s">
        <v>12</v>
      </c>
      <c r="R196" t="str">
        <f t="shared" si="21"/>
        <v>3_43__201_07/20/2022_2022_MonMon_CRC_UP_PW_Lys_C_10_Nutrients</v>
      </c>
    </row>
    <row r="197" spans="1:18" x14ac:dyDescent="0.25">
      <c r="A197">
        <v>3</v>
      </c>
      <c r="B197">
        <v>44</v>
      </c>
      <c r="D197">
        <v>202</v>
      </c>
      <c r="E197" s="1">
        <v>44762</v>
      </c>
      <c r="F197" s="11">
        <f t="shared" si="20"/>
        <v>44762</v>
      </c>
      <c r="G197">
        <f t="shared" si="18"/>
        <v>2022</v>
      </c>
      <c r="H197">
        <f t="shared" si="19"/>
        <v>7</v>
      </c>
      <c r="I197">
        <f t="shared" si="17"/>
        <v>20</v>
      </c>
      <c r="J197" t="s">
        <v>10</v>
      </c>
      <c r="K197" t="s">
        <v>16</v>
      </c>
      <c r="L197" t="s">
        <v>14</v>
      </c>
      <c r="M197" t="s">
        <v>11</v>
      </c>
      <c r="N197" t="s">
        <v>15</v>
      </c>
      <c r="O197" t="s">
        <v>23</v>
      </c>
      <c r="P197">
        <v>10</v>
      </c>
      <c r="Q197" t="s">
        <v>12</v>
      </c>
      <c r="R197" t="str">
        <f t="shared" si="21"/>
        <v>3_44__202_07/20/2022_2022_MonMon_CRC_TR_PW_Lys_A_10_Nutrients</v>
      </c>
    </row>
    <row r="198" spans="1:18" x14ac:dyDescent="0.25">
      <c r="A198">
        <v>3</v>
      </c>
      <c r="B198">
        <v>45</v>
      </c>
      <c r="D198">
        <v>203</v>
      </c>
      <c r="E198" s="1">
        <v>44762</v>
      </c>
      <c r="F198" s="11">
        <f t="shared" si="20"/>
        <v>44762</v>
      </c>
      <c r="G198">
        <f t="shared" si="18"/>
        <v>2022</v>
      </c>
      <c r="H198">
        <f t="shared" si="19"/>
        <v>7</v>
      </c>
      <c r="I198">
        <f t="shared" si="17"/>
        <v>20</v>
      </c>
      <c r="J198" t="s">
        <v>10</v>
      </c>
      <c r="K198" t="s">
        <v>16</v>
      </c>
      <c r="L198" t="s">
        <v>14</v>
      </c>
      <c r="M198" t="s">
        <v>11</v>
      </c>
      <c r="N198" t="s">
        <v>15</v>
      </c>
      <c r="O198" t="s">
        <v>23</v>
      </c>
      <c r="P198">
        <v>20</v>
      </c>
      <c r="Q198" t="s">
        <v>12</v>
      </c>
      <c r="R198" t="str">
        <f t="shared" si="21"/>
        <v>3_45__203_07/20/2022_2022_MonMon_CRC_TR_PW_Lys_A_20_Nutrients</v>
      </c>
    </row>
    <row r="199" spans="1:18" x14ac:dyDescent="0.25">
      <c r="A199">
        <v>3</v>
      </c>
      <c r="B199">
        <v>46</v>
      </c>
      <c r="D199">
        <v>204</v>
      </c>
      <c r="E199" s="1">
        <v>44762</v>
      </c>
      <c r="F199" s="11">
        <f t="shared" si="20"/>
        <v>44762</v>
      </c>
      <c r="G199">
        <f t="shared" si="18"/>
        <v>2022</v>
      </c>
      <c r="H199">
        <f t="shared" si="19"/>
        <v>7</v>
      </c>
      <c r="I199">
        <f t="shared" si="17"/>
        <v>20</v>
      </c>
      <c r="J199" t="s">
        <v>10</v>
      </c>
      <c r="K199" t="s">
        <v>16</v>
      </c>
      <c r="L199" t="s">
        <v>14</v>
      </c>
      <c r="M199" t="s">
        <v>11</v>
      </c>
      <c r="N199" t="s">
        <v>15</v>
      </c>
      <c r="O199" t="s">
        <v>23</v>
      </c>
      <c r="P199">
        <v>45</v>
      </c>
      <c r="Q199" t="s">
        <v>12</v>
      </c>
      <c r="R199" t="str">
        <f t="shared" si="21"/>
        <v>3_46__204_07/20/2022_2022_MonMon_CRC_TR_PW_Lys_A_45_Nutrients</v>
      </c>
    </row>
    <row r="200" spans="1:18" x14ac:dyDescent="0.25">
      <c r="A200">
        <v>3</v>
      </c>
      <c r="B200">
        <v>47</v>
      </c>
      <c r="D200">
        <v>205</v>
      </c>
      <c r="E200" s="1">
        <v>44762</v>
      </c>
      <c r="F200" s="11">
        <f t="shared" si="20"/>
        <v>44762</v>
      </c>
      <c r="G200">
        <f t="shared" si="18"/>
        <v>2022</v>
      </c>
      <c r="H200">
        <f t="shared" si="19"/>
        <v>7</v>
      </c>
      <c r="I200">
        <f t="shared" si="17"/>
        <v>20</v>
      </c>
      <c r="J200" t="s">
        <v>10</v>
      </c>
      <c r="K200" t="s">
        <v>16</v>
      </c>
      <c r="L200" t="s">
        <v>14</v>
      </c>
      <c r="M200" t="s">
        <v>11</v>
      </c>
      <c r="N200" t="s">
        <v>15</v>
      </c>
      <c r="O200" t="s">
        <v>24</v>
      </c>
      <c r="P200">
        <v>10</v>
      </c>
      <c r="Q200" t="s">
        <v>12</v>
      </c>
      <c r="R200" t="str">
        <f t="shared" si="21"/>
        <v>3_47__205_07/20/2022_2022_MonMon_CRC_TR_PW_Lys_B_10_Nutrients</v>
      </c>
    </row>
    <row r="201" spans="1:18" x14ac:dyDescent="0.25">
      <c r="A201">
        <v>3</v>
      </c>
      <c r="B201">
        <v>48</v>
      </c>
      <c r="D201">
        <v>206</v>
      </c>
      <c r="E201" s="1">
        <v>44762</v>
      </c>
      <c r="F201" s="11">
        <f t="shared" si="20"/>
        <v>44762</v>
      </c>
      <c r="G201">
        <f t="shared" si="18"/>
        <v>2022</v>
      </c>
      <c r="H201">
        <f t="shared" si="19"/>
        <v>7</v>
      </c>
      <c r="I201">
        <f t="shared" si="17"/>
        <v>20</v>
      </c>
      <c r="J201" t="s">
        <v>10</v>
      </c>
      <c r="K201" t="s">
        <v>16</v>
      </c>
      <c r="L201" t="s">
        <v>14</v>
      </c>
      <c r="M201" t="s">
        <v>11</v>
      </c>
      <c r="N201" t="s">
        <v>15</v>
      </c>
      <c r="O201" t="s">
        <v>24</v>
      </c>
      <c r="P201">
        <v>20</v>
      </c>
      <c r="Q201" t="s">
        <v>12</v>
      </c>
      <c r="R201" t="str">
        <f t="shared" si="21"/>
        <v>3_48__206_07/20/2022_2022_MonMon_CRC_TR_PW_Lys_B_20_Nutrients</v>
      </c>
    </row>
    <row r="202" spans="1:18" x14ac:dyDescent="0.25">
      <c r="A202">
        <v>3</v>
      </c>
      <c r="B202">
        <v>49</v>
      </c>
      <c r="D202">
        <v>207</v>
      </c>
      <c r="E202" s="1">
        <v>44762</v>
      </c>
      <c r="F202" s="11">
        <f t="shared" si="20"/>
        <v>44762</v>
      </c>
      <c r="G202">
        <f t="shared" si="18"/>
        <v>2022</v>
      </c>
      <c r="H202">
        <f t="shared" si="19"/>
        <v>7</v>
      </c>
      <c r="I202">
        <f t="shared" si="17"/>
        <v>20</v>
      </c>
      <c r="J202" t="s">
        <v>10</v>
      </c>
      <c r="K202" t="s">
        <v>16</v>
      </c>
      <c r="L202" t="s">
        <v>14</v>
      </c>
      <c r="M202" t="s">
        <v>11</v>
      </c>
      <c r="N202" t="s">
        <v>15</v>
      </c>
      <c r="O202" t="s">
        <v>24</v>
      </c>
      <c r="P202">
        <v>45</v>
      </c>
      <c r="Q202" t="s">
        <v>12</v>
      </c>
      <c r="R202" t="str">
        <f t="shared" si="21"/>
        <v>3_49__207_07/20/2022_2022_MonMon_CRC_TR_PW_Lys_B_45_Nutrients</v>
      </c>
    </row>
    <row r="203" spans="1:18" x14ac:dyDescent="0.25">
      <c r="A203">
        <v>3</v>
      </c>
      <c r="B203">
        <v>50</v>
      </c>
      <c r="D203">
        <v>209</v>
      </c>
      <c r="E203" s="1">
        <v>44762</v>
      </c>
      <c r="F203" s="11">
        <f t="shared" si="20"/>
        <v>44762</v>
      </c>
      <c r="G203">
        <f t="shared" si="18"/>
        <v>2022</v>
      </c>
      <c r="H203">
        <f t="shared" si="19"/>
        <v>7</v>
      </c>
      <c r="I203">
        <f t="shared" si="17"/>
        <v>20</v>
      </c>
      <c r="J203" t="s">
        <v>10</v>
      </c>
      <c r="K203" t="s">
        <v>16</v>
      </c>
      <c r="L203" t="s">
        <v>14</v>
      </c>
      <c r="M203" t="s">
        <v>11</v>
      </c>
      <c r="N203" t="s">
        <v>15</v>
      </c>
      <c r="O203" t="s">
        <v>25</v>
      </c>
      <c r="P203">
        <v>10</v>
      </c>
      <c r="Q203" t="s">
        <v>12</v>
      </c>
      <c r="R203" t="str">
        <f t="shared" si="21"/>
        <v>3_50__209_07/20/2022_2022_MonMon_CRC_TR_PW_Lys_C_10_Nutrients</v>
      </c>
    </row>
    <row r="204" spans="1:18" x14ac:dyDescent="0.25">
      <c r="A204">
        <v>3</v>
      </c>
      <c r="B204">
        <v>51</v>
      </c>
      <c r="D204">
        <v>208</v>
      </c>
      <c r="E204" s="1">
        <v>44762</v>
      </c>
      <c r="F204" s="11">
        <f t="shared" si="20"/>
        <v>44762</v>
      </c>
      <c r="G204">
        <f t="shared" si="18"/>
        <v>2022</v>
      </c>
      <c r="H204">
        <f t="shared" si="19"/>
        <v>7</v>
      </c>
      <c r="I204">
        <f t="shared" si="17"/>
        <v>20</v>
      </c>
      <c r="J204" t="s">
        <v>10</v>
      </c>
      <c r="K204" t="s">
        <v>16</v>
      </c>
      <c r="L204" t="s">
        <v>14</v>
      </c>
      <c r="M204" t="s">
        <v>11</v>
      </c>
      <c r="N204" t="s">
        <v>15</v>
      </c>
      <c r="O204" t="s">
        <v>25</v>
      </c>
      <c r="P204">
        <v>20</v>
      </c>
      <c r="Q204" t="s">
        <v>12</v>
      </c>
      <c r="R204" t="str">
        <f t="shared" si="21"/>
        <v>3_51__208_07/20/2022_2022_MonMon_CRC_TR_PW_Lys_C_20_Nutrients</v>
      </c>
    </row>
    <row r="205" spans="1:18" x14ac:dyDescent="0.25">
      <c r="A205">
        <v>3</v>
      </c>
      <c r="B205">
        <v>52</v>
      </c>
      <c r="D205">
        <v>210</v>
      </c>
      <c r="E205" s="1">
        <v>44762</v>
      </c>
      <c r="F205" s="11">
        <f t="shared" si="20"/>
        <v>44762</v>
      </c>
      <c r="G205">
        <f t="shared" si="18"/>
        <v>2022</v>
      </c>
      <c r="H205">
        <f t="shared" si="19"/>
        <v>7</v>
      </c>
      <c r="I205">
        <f t="shared" si="17"/>
        <v>20</v>
      </c>
      <c r="J205" t="s">
        <v>10</v>
      </c>
      <c r="K205" t="s">
        <v>16</v>
      </c>
      <c r="L205" t="s">
        <v>14</v>
      </c>
      <c r="M205" t="s">
        <v>11</v>
      </c>
      <c r="N205" t="s">
        <v>15</v>
      </c>
      <c r="O205" t="s">
        <v>25</v>
      </c>
      <c r="P205">
        <v>45</v>
      </c>
      <c r="Q205" t="s">
        <v>12</v>
      </c>
      <c r="R205" t="str">
        <f t="shared" si="21"/>
        <v>3_52__210_07/20/2022_2022_MonMon_CRC_TR_PW_Lys_C_45_Nutrients</v>
      </c>
    </row>
    <row r="206" spans="1:18" x14ac:dyDescent="0.25">
      <c r="A206">
        <v>3</v>
      </c>
      <c r="B206">
        <v>53</v>
      </c>
      <c r="D206">
        <v>211</v>
      </c>
      <c r="E206" s="1">
        <v>44762</v>
      </c>
      <c r="F206" s="11">
        <f t="shared" si="20"/>
        <v>44762</v>
      </c>
      <c r="G206">
        <f t="shared" si="18"/>
        <v>2022</v>
      </c>
      <c r="H206">
        <f t="shared" si="19"/>
        <v>7</v>
      </c>
      <c r="I206">
        <f t="shared" si="17"/>
        <v>20</v>
      </c>
      <c r="J206" t="s">
        <v>10</v>
      </c>
      <c r="K206" t="s">
        <v>16</v>
      </c>
      <c r="L206" t="s">
        <v>14</v>
      </c>
      <c r="M206" t="s">
        <v>11</v>
      </c>
      <c r="N206" t="s">
        <v>27</v>
      </c>
      <c r="O206" t="s">
        <v>23</v>
      </c>
      <c r="P206">
        <v>10</v>
      </c>
      <c r="Q206" t="s">
        <v>12</v>
      </c>
      <c r="R206" t="str">
        <f t="shared" si="21"/>
        <v>3_53__211_07/20/2022_2022_MonMon_CRC_TR_PW_Sip_A_10_Nutrients</v>
      </c>
    </row>
    <row r="207" spans="1:18" x14ac:dyDescent="0.25">
      <c r="A207">
        <v>3</v>
      </c>
      <c r="B207">
        <v>54</v>
      </c>
      <c r="D207">
        <v>212</v>
      </c>
      <c r="E207" s="1">
        <v>44762</v>
      </c>
      <c r="F207" s="11">
        <f t="shared" si="20"/>
        <v>44762</v>
      </c>
      <c r="G207">
        <f t="shared" si="18"/>
        <v>2022</v>
      </c>
      <c r="H207">
        <f t="shared" si="19"/>
        <v>7</v>
      </c>
      <c r="I207">
        <f t="shared" si="17"/>
        <v>20</v>
      </c>
      <c r="J207" t="s">
        <v>10</v>
      </c>
      <c r="K207" t="s">
        <v>16</v>
      </c>
      <c r="L207" t="s">
        <v>14</v>
      </c>
      <c r="M207" t="s">
        <v>11</v>
      </c>
      <c r="N207" t="s">
        <v>27</v>
      </c>
      <c r="O207" t="s">
        <v>23</v>
      </c>
      <c r="P207">
        <v>20</v>
      </c>
      <c r="Q207" t="s">
        <v>12</v>
      </c>
      <c r="R207" t="str">
        <f t="shared" si="21"/>
        <v>3_54__212_07/20/2022_2022_MonMon_CRC_TR_PW_Sip_A_20_Nutrients</v>
      </c>
    </row>
    <row r="208" spans="1:18" x14ac:dyDescent="0.25">
      <c r="A208">
        <v>3</v>
      </c>
      <c r="B208">
        <v>55</v>
      </c>
      <c r="D208">
        <v>213</v>
      </c>
      <c r="E208" s="1">
        <v>44762</v>
      </c>
      <c r="F208" s="11">
        <f t="shared" si="20"/>
        <v>44762</v>
      </c>
      <c r="G208">
        <f t="shared" si="18"/>
        <v>2022</v>
      </c>
      <c r="H208">
        <f t="shared" si="19"/>
        <v>7</v>
      </c>
      <c r="I208">
        <f t="shared" si="17"/>
        <v>20</v>
      </c>
      <c r="J208" t="s">
        <v>10</v>
      </c>
      <c r="K208" t="s">
        <v>16</v>
      </c>
      <c r="L208" t="s">
        <v>14</v>
      </c>
      <c r="M208" t="s">
        <v>11</v>
      </c>
      <c r="N208" t="s">
        <v>27</v>
      </c>
      <c r="O208" t="s">
        <v>23</v>
      </c>
      <c r="P208">
        <v>45</v>
      </c>
      <c r="Q208" t="s">
        <v>12</v>
      </c>
      <c r="R208" t="str">
        <f t="shared" si="21"/>
        <v>3_55__213_07/20/2022_2022_MonMon_CRC_TR_PW_Sip_A_45_Nutrients</v>
      </c>
    </row>
    <row r="209" spans="1:18" x14ac:dyDescent="0.25">
      <c r="A209">
        <v>3</v>
      </c>
      <c r="B209">
        <v>56</v>
      </c>
      <c r="D209">
        <v>214</v>
      </c>
      <c r="E209" s="1">
        <v>44762</v>
      </c>
      <c r="F209" s="11">
        <f t="shared" si="20"/>
        <v>44762</v>
      </c>
      <c r="G209">
        <f t="shared" si="18"/>
        <v>2022</v>
      </c>
      <c r="H209">
        <f t="shared" si="19"/>
        <v>7</v>
      </c>
      <c r="I209">
        <f t="shared" si="17"/>
        <v>20</v>
      </c>
      <c r="J209" t="s">
        <v>10</v>
      </c>
      <c r="K209" t="s">
        <v>16</v>
      </c>
      <c r="L209" t="s">
        <v>14</v>
      </c>
      <c r="M209" t="s">
        <v>11</v>
      </c>
      <c r="N209" t="s">
        <v>27</v>
      </c>
      <c r="O209" t="s">
        <v>25</v>
      </c>
      <c r="P209">
        <v>45</v>
      </c>
      <c r="Q209" t="s">
        <v>12</v>
      </c>
      <c r="R209" t="str">
        <f t="shared" si="21"/>
        <v>3_56__214_07/20/2022_2022_MonMon_CRC_TR_PW_Sip_C_45_Nutrients</v>
      </c>
    </row>
    <row r="210" spans="1:18" x14ac:dyDescent="0.25">
      <c r="A210">
        <v>3</v>
      </c>
      <c r="B210">
        <v>61</v>
      </c>
      <c r="D210">
        <v>215</v>
      </c>
      <c r="E210" s="1">
        <v>44762</v>
      </c>
      <c r="F210" s="11">
        <f t="shared" si="20"/>
        <v>44762</v>
      </c>
      <c r="G210">
        <f t="shared" si="18"/>
        <v>2022</v>
      </c>
      <c r="H210">
        <f t="shared" si="19"/>
        <v>7</v>
      </c>
      <c r="I210">
        <f t="shared" si="17"/>
        <v>20</v>
      </c>
      <c r="J210" t="s">
        <v>10</v>
      </c>
      <c r="K210" t="s">
        <v>16</v>
      </c>
      <c r="L210" t="s">
        <v>9</v>
      </c>
      <c r="M210" t="s">
        <v>11</v>
      </c>
      <c r="N210" t="s">
        <v>27</v>
      </c>
      <c r="O210" t="s">
        <v>23</v>
      </c>
      <c r="P210">
        <v>10</v>
      </c>
      <c r="Q210" t="s">
        <v>12</v>
      </c>
      <c r="R210" t="str">
        <f t="shared" si="21"/>
        <v>3_61__215_07/20/2022_2022_MonMon_CRC_W_PW_Sip_A_10_Nutrients</v>
      </c>
    </row>
    <row r="211" spans="1:18" x14ac:dyDescent="0.25">
      <c r="A211">
        <v>3</v>
      </c>
      <c r="B211">
        <v>62</v>
      </c>
      <c r="D211">
        <v>216</v>
      </c>
      <c r="E211" s="1">
        <v>44762</v>
      </c>
      <c r="F211" s="11">
        <f t="shared" si="20"/>
        <v>44762</v>
      </c>
      <c r="G211">
        <f t="shared" si="18"/>
        <v>2022</v>
      </c>
      <c r="H211">
        <f t="shared" si="19"/>
        <v>7</v>
      </c>
      <c r="I211">
        <f t="shared" si="17"/>
        <v>20</v>
      </c>
      <c r="J211" t="s">
        <v>10</v>
      </c>
      <c r="K211" t="s">
        <v>16</v>
      </c>
      <c r="L211" t="s">
        <v>9</v>
      </c>
      <c r="M211" t="s">
        <v>11</v>
      </c>
      <c r="N211" t="s">
        <v>27</v>
      </c>
      <c r="O211" t="s">
        <v>23</v>
      </c>
      <c r="P211">
        <v>20</v>
      </c>
      <c r="Q211" t="s">
        <v>12</v>
      </c>
      <c r="R211" t="str">
        <f t="shared" si="21"/>
        <v>3_62__216_07/20/2022_2022_MonMon_CRC_W_PW_Sip_A_20_Nutrients</v>
      </c>
    </row>
    <row r="212" spans="1:18" x14ac:dyDescent="0.25">
      <c r="A212">
        <v>3</v>
      </c>
      <c r="B212">
        <v>64</v>
      </c>
      <c r="D212">
        <v>217</v>
      </c>
      <c r="E212" s="1">
        <v>44762</v>
      </c>
      <c r="F212" s="11">
        <f t="shared" si="20"/>
        <v>44762</v>
      </c>
      <c r="G212">
        <f t="shared" si="18"/>
        <v>2022</v>
      </c>
      <c r="H212">
        <f t="shared" si="19"/>
        <v>7</v>
      </c>
      <c r="I212">
        <f t="shared" si="17"/>
        <v>20</v>
      </c>
      <c r="J212" t="s">
        <v>10</v>
      </c>
      <c r="K212" t="s">
        <v>16</v>
      </c>
      <c r="L212" t="s">
        <v>9</v>
      </c>
      <c r="M212" t="s">
        <v>11</v>
      </c>
      <c r="N212" t="s">
        <v>27</v>
      </c>
      <c r="O212" t="s">
        <v>24</v>
      </c>
      <c r="P212">
        <v>10</v>
      </c>
      <c r="Q212" t="s">
        <v>12</v>
      </c>
      <c r="R212" t="str">
        <f t="shared" si="21"/>
        <v>3_64__217_07/20/2022_2022_MonMon_CRC_W_PW_Sip_B_10_Nutrients</v>
      </c>
    </row>
    <row r="213" spans="1:18" x14ac:dyDescent="0.25">
      <c r="A213">
        <v>3</v>
      </c>
      <c r="B213">
        <v>65</v>
      </c>
      <c r="D213">
        <v>218</v>
      </c>
      <c r="E213" s="1">
        <v>44762</v>
      </c>
      <c r="F213" s="11">
        <f t="shared" si="20"/>
        <v>44762</v>
      </c>
      <c r="G213">
        <f t="shared" si="18"/>
        <v>2022</v>
      </c>
      <c r="H213">
        <f t="shared" si="19"/>
        <v>7</v>
      </c>
      <c r="I213">
        <f t="shared" si="17"/>
        <v>20</v>
      </c>
      <c r="J213" t="s">
        <v>10</v>
      </c>
      <c r="K213" t="s">
        <v>16</v>
      </c>
      <c r="L213" t="s">
        <v>9</v>
      </c>
      <c r="M213" t="s">
        <v>11</v>
      </c>
      <c r="N213" t="s">
        <v>27</v>
      </c>
      <c r="O213" t="s">
        <v>24</v>
      </c>
      <c r="P213">
        <v>20</v>
      </c>
      <c r="Q213" t="s">
        <v>12</v>
      </c>
      <c r="R213" t="str">
        <f t="shared" si="21"/>
        <v>3_65__218_07/20/2022_2022_MonMon_CRC_W_PW_Sip_B_20_Nutrients</v>
      </c>
    </row>
    <row r="214" spans="1:18" x14ac:dyDescent="0.25">
      <c r="A214">
        <v>3</v>
      </c>
      <c r="B214">
        <v>66</v>
      </c>
      <c r="D214">
        <v>219</v>
      </c>
      <c r="E214" s="1">
        <v>44762</v>
      </c>
      <c r="F214" s="11">
        <f t="shared" si="20"/>
        <v>44762</v>
      </c>
      <c r="G214">
        <f t="shared" si="18"/>
        <v>2022</v>
      </c>
      <c r="H214">
        <f t="shared" si="19"/>
        <v>7</v>
      </c>
      <c r="I214">
        <f t="shared" si="17"/>
        <v>20</v>
      </c>
      <c r="J214" t="s">
        <v>10</v>
      </c>
      <c r="K214" t="s">
        <v>16</v>
      </c>
      <c r="L214" t="s">
        <v>9</v>
      </c>
      <c r="M214" t="s">
        <v>11</v>
      </c>
      <c r="N214" t="s">
        <v>27</v>
      </c>
      <c r="O214" t="s">
        <v>24</v>
      </c>
      <c r="P214">
        <v>45</v>
      </c>
      <c r="Q214" t="s">
        <v>12</v>
      </c>
      <c r="R214" t="str">
        <f t="shared" si="21"/>
        <v>3_66__219_07/20/2022_2022_MonMon_CRC_W_PW_Sip_B_45_Nutrients</v>
      </c>
    </row>
    <row r="215" spans="1:18" x14ac:dyDescent="0.25">
      <c r="A215">
        <v>3</v>
      </c>
      <c r="B215">
        <v>67</v>
      </c>
      <c r="D215">
        <v>220</v>
      </c>
      <c r="E215" s="1">
        <v>44762</v>
      </c>
      <c r="F215" s="11">
        <f t="shared" si="20"/>
        <v>44762</v>
      </c>
      <c r="G215">
        <f t="shared" si="18"/>
        <v>2022</v>
      </c>
      <c r="H215">
        <f t="shared" si="19"/>
        <v>7</v>
      </c>
      <c r="I215">
        <f t="shared" si="17"/>
        <v>20</v>
      </c>
      <c r="J215" t="s">
        <v>10</v>
      </c>
      <c r="K215" t="s">
        <v>16</v>
      </c>
      <c r="L215" t="s">
        <v>9</v>
      </c>
      <c r="M215" t="s">
        <v>11</v>
      </c>
      <c r="N215" t="s">
        <v>27</v>
      </c>
      <c r="O215" t="s">
        <v>25</v>
      </c>
      <c r="P215">
        <v>10</v>
      </c>
      <c r="Q215" t="s">
        <v>12</v>
      </c>
      <c r="R215" t="str">
        <f t="shared" si="21"/>
        <v>3_67__220_07/20/2022_2022_MonMon_CRC_W_PW_Sip_C_10_Nutrients</v>
      </c>
    </row>
    <row r="216" spans="1:18" x14ac:dyDescent="0.25">
      <c r="A216">
        <v>3</v>
      </c>
      <c r="B216">
        <v>68</v>
      </c>
      <c r="D216">
        <v>221</v>
      </c>
      <c r="E216" s="1">
        <v>44762</v>
      </c>
      <c r="F216" s="11">
        <f t="shared" si="20"/>
        <v>44762</v>
      </c>
      <c r="G216">
        <f t="shared" si="18"/>
        <v>2022</v>
      </c>
      <c r="H216">
        <f t="shared" si="19"/>
        <v>7</v>
      </c>
      <c r="I216">
        <f t="shared" si="17"/>
        <v>20</v>
      </c>
      <c r="J216" t="s">
        <v>10</v>
      </c>
      <c r="K216" t="s">
        <v>16</v>
      </c>
      <c r="L216" t="s">
        <v>9</v>
      </c>
      <c r="M216" t="s">
        <v>11</v>
      </c>
      <c r="N216" t="s">
        <v>27</v>
      </c>
      <c r="O216" t="s">
        <v>25</v>
      </c>
      <c r="P216">
        <v>20</v>
      </c>
      <c r="Q216" t="s">
        <v>12</v>
      </c>
      <c r="R216" t="str">
        <f t="shared" si="21"/>
        <v>3_68__221_07/20/2022_2022_MonMon_CRC_W_PW_Sip_C_20_Nutrients</v>
      </c>
    </row>
    <row r="217" spans="1:18" x14ac:dyDescent="0.25">
      <c r="A217">
        <v>3</v>
      </c>
      <c r="B217">
        <v>69</v>
      </c>
      <c r="D217">
        <v>222</v>
      </c>
      <c r="E217" s="1">
        <v>44762</v>
      </c>
      <c r="F217" s="11">
        <f t="shared" si="20"/>
        <v>44762</v>
      </c>
      <c r="G217">
        <f t="shared" si="18"/>
        <v>2022</v>
      </c>
      <c r="H217">
        <f t="shared" si="19"/>
        <v>7</v>
      </c>
      <c r="I217">
        <f t="shared" si="17"/>
        <v>20</v>
      </c>
      <c r="J217" t="s">
        <v>10</v>
      </c>
      <c r="K217" t="s">
        <v>16</v>
      </c>
      <c r="L217" t="s">
        <v>9</v>
      </c>
      <c r="M217" t="s">
        <v>11</v>
      </c>
      <c r="N217" t="s">
        <v>27</v>
      </c>
      <c r="O217" t="s">
        <v>25</v>
      </c>
      <c r="P217">
        <v>45</v>
      </c>
      <c r="Q217" t="s">
        <v>12</v>
      </c>
      <c r="R217" t="str">
        <f t="shared" si="21"/>
        <v>3_69__222_07/20/2022_2022_MonMon_CRC_W_PW_Sip_C_45_Nutrients</v>
      </c>
    </row>
    <row r="218" spans="1:18" x14ac:dyDescent="0.25">
      <c r="A218">
        <v>3</v>
      </c>
      <c r="B218">
        <v>71</v>
      </c>
      <c r="D218">
        <v>223</v>
      </c>
      <c r="E218" s="1">
        <v>44763</v>
      </c>
      <c r="F218" s="11">
        <f t="shared" si="20"/>
        <v>44763</v>
      </c>
      <c r="G218">
        <f t="shared" si="18"/>
        <v>2022</v>
      </c>
      <c r="H218">
        <f t="shared" si="19"/>
        <v>7</v>
      </c>
      <c r="I218">
        <f t="shared" si="17"/>
        <v>21</v>
      </c>
      <c r="J218" t="s">
        <v>10</v>
      </c>
      <c r="K218" t="s">
        <v>16</v>
      </c>
      <c r="L218" t="s">
        <v>9</v>
      </c>
      <c r="M218" t="s">
        <v>11</v>
      </c>
      <c r="N218" t="s">
        <v>27</v>
      </c>
      <c r="O218" t="s">
        <v>23</v>
      </c>
      <c r="P218">
        <v>10</v>
      </c>
      <c r="Q218" t="s">
        <v>12</v>
      </c>
      <c r="R218" t="str">
        <f t="shared" si="21"/>
        <v>3_71__223_07/21/2022_2022_MonMon_CRC_W_PW_Sip_A_10_Nutrients</v>
      </c>
    </row>
    <row r="219" spans="1:18" x14ac:dyDescent="0.25">
      <c r="A219">
        <v>3</v>
      </c>
      <c r="B219">
        <v>72</v>
      </c>
      <c r="D219">
        <v>224</v>
      </c>
      <c r="E219" s="1">
        <v>44763</v>
      </c>
      <c r="F219" s="11">
        <f t="shared" si="20"/>
        <v>44763</v>
      </c>
      <c r="G219">
        <f t="shared" si="18"/>
        <v>2022</v>
      </c>
      <c r="H219">
        <f t="shared" si="19"/>
        <v>7</v>
      </c>
      <c r="I219">
        <f t="shared" si="17"/>
        <v>21</v>
      </c>
      <c r="J219" t="s">
        <v>10</v>
      </c>
      <c r="K219" t="s">
        <v>16</v>
      </c>
      <c r="L219" t="s">
        <v>9</v>
      </c>
      <c r="M219" t="s">
        <v>11</v>
      </c>
      <c r="N219" t="s">
        <v>27</v>
      </c>
      <c r="O219" t="s">
        <v>23</v>
      </c>
      <c r="P219">
        <v>20</v>
      </c>
      <c r="Q219" t="s">
        <v>12</v>
      </c>
      <c r="R219" t="str">
        <f t="shared" si="21"/>
        <v>3_72__224_07/21/2022_2022_MonMon_CRC_W_PW_Sip_A_20_Nutrients</v>
      </c>
    </row>
    <row r="220" spans="1:18" x14ac:dyDescent="0.25">
      <c r="A220">
        <v>3</v>
      </c>
      <c r="B220">
        <v>73</v>
      </c>
      <c r="D220">
        <v>225</v>
      </c>
      <c r="E220" s="1">
        <v>44763</v>
      </c>
      <c r="F220" s="11">
        <f t="shared" si="20"/>
        <v>44763</v>
      </c>
      <c r="G220">
        <f t="shared" si="18"/>
        <v>2022</v>
      </c>
      <c r="H220">
        <f t="shared" si="19"/>
        <v>7</v>
      </c>
      <c r="I220">
        <f t="shared" si="17"/>
        <v>21</v>
      </c>
      <c r="J220" t="s">
        <v>10</v>
      </c>
      <c r="K220" t="s">
        <v>16</v>
      </c>
      <c r="L220" t="s">
        <v>9</v>
      </c>
      <c r="M220" t="s">
        <v>11</v>
      </c>
      <c r="N220" t="s">
        <v>27</v>
      </c>
      <c r="O220" t="s">
        <v>23</v>
      </c>
      <c r="P220">
        <v>45</v>
      </c>
      <c r="Q220" t="s">
        <v>12</v>
      </c>
      <c r="R220" t="str">
        <f t="shared" si="21"/>
        <v>3_73__225_07/21/2022_2022_MonMon_CRC_W_PW_Sip_A_45_Nutrients</v>
      </c>
    </row>
    <row r="221" spans="1:18" x14ac:dyDescent="0.25">
      <c r="A221">
        <v>3</v>
      </c>
      <c r="B221">
        <v>74</v>
      </c>
      <c r="D221">
        <v>226</v>
      </c>
      <c r="E221" s="1">
        <v>44763</v>
      </c>
      <c r="F221" s="11">
        <f t="shared" si="20"/>
        <v>44763</v>
      </c>
      <c r="G221">
        <f t="shared" si="18"/>
        <v>2022</v>
      </c>
      <c r="H221">
        <f t="shared" si="19"/>
        <v>7</v>
      </c>
      <c r="I221">
        <f t="shared" si="17"/>
        <v>21</v>
      </c>
      <c r="J221" t="s">
        <v>10</v>
      </c>
      <c r="K221" t="s">
        <v>16</v>
      </c>
      <c r="L221" t="s">
        <v>9</v>
      </c>
      <c r="M221" t="s">
        <v>11</v>
      </c>
      <c r="N221" t="s">
        <v>27</v>
      </c>
      <c r="O221" t="s">
        <v>24</v>
      </c>
      <c r="P221">
        <v>10</v>
      </c>
      <c r="Q221" t="s">
        <v>12</v>
      </c>
      <c r="R221" t="str">
        <f t="shared" si="21"/>
        <v>3_74__226_07/21/2022_2022_MonMon_CRC_W_PW_Sip_B_10_Nutrients</v>
      </c>
    </row>
    <row r="222" spans="1:18" x14ac:dyDescent="0.25">
      <c r="A222">
        <v>3</v>
      </c>
      <c r="B222">
        <v>75</v>
      </c>
      <c r="D222">
        <v>227</v>
      </c>
      <c r="E222" s="1">
        <v>44763</v>
      </c>
      <c r="F222" s="11">
        <f t="shared" si="20"/>
        <v>44763</v>
      </c>
      <c r="G222">
        <f t="shared" si="18"/>
        <v>2022</v>
      </c>
      <c r="H222">
        <f t="shared" si="19"/>
        <v>7</v>
      </c>
      <c r="I222">
        <f t="shared" si="17"/>
        <v>21</v>
      </c>
      <c r="J222" t="s">
        <v>10</v>
      </c>
      <c r="K222" t="s">
        <v>16</v>
      </c>
      <c r="L222" t="s">
        <v>9</v>
      </c>
      <c r="M222" t="s">
        <v>11</v>
      </c>
      <c r="N222" t="s">
        <v>27</v>
      </c>
      <c r="O222" t="s">
        <v>24</v>
      </c>
      <c r="P222">
        <v>20</v>
      </c>
      <c r="Q222" t="s">
        <v>12</v>
      </c>
      <c r="R222" t="str">
        <f t="shared" si="21"/>
        <v>3_75__227_07/21/2022_2022_MonMon_CRC_W_PW_Sip_B_20_Nutrients</v>
      </c>
    </row>
    <row r="223" spans="1:18" x14ac:dyDescent="0.25">
      <c r="A223">
        <v>3</v>
      </c>
      <c r="B223">
        <v>76</v>
      </c>
      <c r="D223">
        <v>228</v>
      </c>
      <c r="E223" s="1">
        <v>44763</v>
      </c>
      <c r="F223" s="11">
        <f t="shared" si="20"/>
        <v>44763</v>
      </c>
      <c r="G223">
        <f t="shared" si="18"/>
        <v>2022</v>
      </c>
      <c r="H223">
        <f t="shared" si="19"/>
        <v>7</v>
      </c>
      <c r="I223">
        <f t="shared" si="17"/>
        <v>21</v>
      </c>
      <c r="J223" t="s">
        <v>10</v>
      </c>
      <c r="K223" t="s">
        <v>16</v>
      </c>
      <c r="L223" t="s">
        <v>9</v>
      </c>
      <c r="M223" t="s">
        <v>11</v>
      </c>
      <c r="N223" t="s">
        <v>27</v>
      </c>
      <c r="O223" t="s">
        <v>24</v>
      </c>
      <c r="P223">
        <v>45</v>
      </c>
      <c r="Q223" t="s">
        <v>12</v>
      </c>
      <c r="R223" t="str">
        <f t="shared" si="21"/>
        <v>3_76__228_07/21/2022_2022_MonMon_CRC_W_PW_Sip_B_45_Nutrients</v>
      </c>
    </row>
    <row r="224" spans="1:18" x14ac:dyDescent="0.25">
      <c r="A224">
        <v>3</v>
      </c>
      <c r="B224">
        <v>77</v>
      </c>
      <c r="D224">
        <v>229</v>
      </c>
      <c r="E224" s="1">
        <v>44763</v>
      </c>
      <c r="F224" s="11">
        <f t="shared" si="20"/>
        <v>44763</v>
      </c>
      <c r="G224">
        <f t="shared" si="18"/>
        <v>2022</v>
      </c>
      <c r="H224">
        <f t="shared" si="19"/>
        <v>7</v>
      </c>
      <c r="I224">
        <f t="shared" si="17"/>
        <v>21</v>
      </c>
      <c r="J224" t="s">
        <v>10</v>
      </c>
      <c r="K224" t="s">
        <v>16</v>
      </c>
      <c r="L224" t="s">
        <v>9</v>
      </c>
      <c r="M224" t="s">
        <v>11</v>
      </c>
      <c r="N224" t="s">
        <v>27</v>
      </c>
      <c r="O224" t="s">
        <v>25</v>
      </c>
      <c r="P224">
        <v>10</v>
      </c>
      <c r="Q224" t="s">
        <v>12</v>
      </c>
      <c r="R224" t="str">
        <f t="shared" si="21"/>
        <v>3_77__229_07/21/2022_2022_MonMon_CRC_W_PW_Sip_C_10_Nutrients</v>
      </c>
    </row>
    <row r="225" spans="1:18" x14ac:dyDescent="0.25">
      <c r="A225">
        <v>3</v>
      </c>
      <c r="B225">
        <v>78</v>
      </c>
      <c r="D225">
        <v>230</v>
      </c>
      <c r="E225" s="1">
        <v>44763</v>
      </c>
      <c r="F225" s="11">
        <f t="shared" si="20"/>
        <v>44763</v>
      </c>
      <c r="G225">
        <f t="shared" si="18"/>
        <v>2022</v>
      </c>
      <c r="H225">
        <f t="shared" si="19"/>
        <v>7</v>
      </c>
      <c r="I225">
        <f t="shared" si="17"/>
        <v>21</v>
      </c>
      <c r="J225" t="s">
        <v>10</v>
      </c>
      <c r="K225" t="s">
        <v>16</v>
      </c>
      <c r="L225" t="s">
        <v>9</v>
      </c>
      <c r="M225" t="s">
        <v>11</v>
      </c>
      <c r="N225" t="s">
        <v>27</v>
      </c>
      <c r="O225" t="s">
        <v>25</v>
      </c>
      <c r="P225">
        <v>20</v>
      </c>
      <c r="Q225" t="s">
        <v>12</v>
      </c>
      <c r="R225" t="str">
        <f t="shared" si="21"/>
        <v>3_78__230_07/21/2022_2022_MonMon_CRC_W_PW_Sip_C_20_Nutrients</v>
      </c>
    </row>
    <row r="226" spans="1:18" x14ac:dyDescent="0.25">
      <c r="A226">
        <v>3</v>
      </c>
      <c r="B226">
        <v>79</v>
      </c>
      <c r="D226">
        <v>231</v>
      </c>
      <c r="E226" s="1">
        <v>44763</v>
      </c>
      <c r="F226" s="11">
        <f t="shared" si="20"/>
        <v>44763</v>
      </c>
      <c r="G226">
        <f t="shared" si="18"/>
        <v>2022</v>
      </c>
      <c r="H226">
        <f t="shared" si="19"/>
        <v>7</v>
      </c>
      <c r="I226">
        <f t="shared" si="17"/>
        <v>21</v>
      </c>
      <c r="J226" t="s">
        <v>10</v>
      </c>
      <c r="K226" t="s">
        <v>16</v>
      </c>
      <c r="L226" t="s">
        <v>9</v>
      </c>
      <c r="M226" t="s">
        <v>11</v>
      </c>
      <c r="N226" t="s">
        <v>27</v>
      </c>
      <c r="O226" t="s">
        <v>25</v>
      </c>
      <c r="P226">
        <v>45</v>
      </c>
      <c r="Q226" t="s">
        <v>12</v>
      </c>
      <c r="R226" t="str">
        <f t="shared" si="21"/>
        <v>3_79__231_07/21/2022_2022_MonMon_CRC_W_PW_Sip_C_45_Nutrients</v>
      </c>
    </row>
    <row r="227" spans="1:18" x14ac:dyDescent="0.25">
      <c r="A227">
        <v>4</v>
      </c>
      <c r="B227">
        <v>1</v>
      </c>
      <c r="D227">
        <v>232</v>
      </c>
      <c r="E227" s="1">
        <v>44789</v>
      </c>
      <c r="F227" s="11">
        <f t="shared" si="20"/>
        <v>44789</v>
      </c>
      <c r="G227">
        <f t="shared" si="18"/>
        <v>2022</v>
      </c>
      <c r="H227">
        <f t="shared" si="19"/>
        <v>8</v>
      </c>
      <c r="I227">
        <f t="shared" si="17"/>
        <v>16</v>
      </c>
      <c r="J227" t="s">
        <v>10</v>
      </c>
      <c r="K227" t="s">
        <v>16</v>
      </c>
      <c r="L227" t="s">
        <v>9</v>
      </c>
      <c r="M227" t="s">
        <v>19</v>
      </c>
      <c r="Q227" t="s">
        <v>12</v>
      </c>
      <c r="R227" t="str">
        <f t="shared" si="21"/>
        <v>4_1__232_08/16/2022_2022_MonMon_CRC_W_Stand____Nutrients</v>
      </c>
    </row>
    <row r="228" spans="1:18" s="6" customFormat="1" x14ac:dyDescent="0.25">
      <c r="A228" s="6">
        <v>4</v>
      </c>
      <c r="B228" s="6">
        <v>2</v>
      </c>
      <c r="D228" s="6">
        <v>233</v>
      </c>
      <c r="E228" s="7">
        <v>44789</v>
      </c>
      <c r="F228" s="11">
        <f t="shared" si="20"/>
        <v>44789</v>
      </c>
      <c r="G228" s="6">
        <f t="shared" si="18"/>
        <v>2022</v>
      </c>
      <c r="H228" s="6">
        <f t="shared" si="19"/>
        <v>8</v>
      </c>
      <c r="I228" s="6">
        <f t="shared" si="17"/>
        <v>16</v>
      </c>
      <c r="J228" s="6" t="s">
        <v>10</v>
      </c>
      <c r="K228" s="6" t="s">
        <v>16</v>
      </c>
      <c r="M228" s="6" t="s">
        <v>28</v>
      </c>
      <c r="O228" s="6" t="s">
        <v>23</v>
      </c>
      <c r="Q228" s="6" t="s">
        <v>12</v>
      </c>
      <c r="R228" t="str">
        <f t="shared" si="21"/>
        <v>4_2__233_08/16/2022_2022_MonMon_CRC__OW__A__Nutrients</v>
      </c>
    </row>
    <row r="229" spans="1:18" s="6" customFormat="1" x14ac:dyDescent="0.25">
      <c r="A229" s="6">
        <v>4</v>
      </c>
      <c r="B229" s="6">
        <v>3</v>
      </c>
      <c r="D229" s="6">
        <v>234</v>
      </c>
      <c r="E229" s="7">
        <v>44789</v>
      </c>
      <c r="F229" s="11">
        <f t="shared" si="20"/>
        <v>44789</v>
      </c>
      <c r="G229" s="6">
        <f t="shared" si="18"/>
        <v>2022</v>
      </c>
      <c r="H229" s="6">
        <f t="shared" si="19"/>
        <v>8</v>
      </c>
      <c r="I229" s="6">
        <f t="shared" si="17"/>
        <v>16</v>
      </c>
      <c r="J229" s="6" t="s">
        <v>10</v>
      </c>
      <c r="K229" s="6" t="s">
        <v>16</v>
      </c>
      <c r="M229" s="6" t="s">
        <v>28</v>
      </c>
      <c r="O229" s="6" t="s">
        <v>24</v>
      </c>
      <c r="Q229" s="6" t="s">
        <v>12</v>
      </c>
      <c r="R229" t="str">
        <f t="shared" si="21"/>
        <v>4_3__234_08/16/2022_2022_MonMon_CRC__OW__B__Nutrients</v>
      </c>
    </row>
    <row r="230" spans="1:18" x14ac:dyDescent="0.25">
      <c r="A230">
        <v>4</v>
      </c>
      <c r="B230">
        <v>4</v>
      </c>
      <c r="D230">
        <v>235</v>
      </c>
      <c r="E230" s="1">
        <v>44790</v>
      </c>
      <c r="F230" s="11">
        <f t="shared" si="20"/>
        <v>44790</v>
      </c>
      <c r="G230">
        <f t="shared" si="18"/>
        <v>2022</v>
      </c>
      <c r="H230">
        <f t="shared" si="19"/>
        <v>8</v>
      </c>
      <c r="I230">
        <f t="shared" si="17"/>
        <v>17</v>
      </c>
      <c r="J230" t="s">
        <v>10</v>
      </c>
      <c r="K230" t="s">
        <v>8</v>
      </c>
      <c r="L230" t="s">
        <v>9</v>
      </c>
      <c r="M230" t="s">
        <v>11</v>
      </c>
      <c r="N230" t="s">
        <v>27</v>
      </c>
      <c r="O230" t="s">
        <v>23</v>
      </c>
      <c r="P230">
        <v>20</v>
      </c>
      <c r="Q230" t="s">
        <v>12</v>
      </c>
      <c r="R230" t="str">
        <f t="shared" si="21"/>
        <v>4_4__235_08/17/2022_2022_MonMon_OWC_W_PW_Sip_A_20_Nutrients</v>
      </c>
    </row>
    <row r="231" spans="1:18" x14ac:dyDescent="0.25">
      <c r="A231">
        <v>4</v>
      </c>
      <c r="B231">
        <v>5</v>
      </c>
      <c r="D231">
        <v>236</v>
      </c>
      <c r="E231" s="1">
        <v>44790</v>
      </c>
      <c r="F231" s="11">
        <f t="shared" si="20"/>
        <v>44790</v>
      </c>
      <c r="G231">
        <f t="shared" si="18"/>
        <v>2022</v>
      </c>
      <c r="H231">
        <f t="shared" si="19"/>
        <v>8</v>
      </c>
      <c r="I231">
        <f t="shared" si="17"/>
        <v>17</v>
      </c>
      <c r="J231" t="s">
        <v>10</v>
      </c>
      <c r="K231" t="s">
        <v>8</v>
      </c>
      <c r="L231" t="s">
        <v>9</v>
      </c>
      <c r="M231" t="s">
        <v>11</v>
      </c>
      <c r="N231" t="s">
        <v>27</v>
      </c>
      <c r="O231" t="s">
        <v>23</v>
      </c>
      <c r="P231">
        <v>45</v>
      </c>
      <c r="Q231" t="s">
        <v>12</v>
      </c>
      <c r="R231" t="str">
        <f t="shared" si="21"/>
        <v>4_5__236_08/17/2022_2022_MonMon_OWC_W_PW_Sip_A_45_Nutrients</v>
      </c>
    </row>
    <row r="232" spans="1:18" x14ac:dyDescent="0.25">
      <c r="A232">
        <v>4</v>
      </c>
      <c r="B232">
        <v>6</v>
      </c>
      <c r="D232">
        <v>237</v>
      </c>
      <c r="E232" s="1">
        <v>44790</v>
      </c>
      <c r="F232" s="11">
        <f t="shared" si="20"/>
        <v>44790</v>
      </c>
      <c r="G232">
        <f t="shared" si="18"/>
        <v>2022</v>
      </c>
      <c r="H232">
        <f t="shared" si="19"/>
        <v>8</v>
      </c>
      <c r="I232">
        <f t="shared" si="17"/>
        <v>17</v>
      </c>
      <c r="J232" t="s">
        <v>10</v>
      </c>
      <c r="K232" t="s">
        <v>8</v>
      </c>
      <c r="L232" t="s">
        <v>9</v>
      </c>
      <c r="M232" t="s">
        <v>11</v>
      </c>
      <c r="N232" t="s">
        <v>27</v>
      </c>
      <c r="O232" t="s">
        <v>24</v>
      </c>
      <c r="P232">
        <v>20</v>
      </c>
      <c r="Q232" t="s">
        <v>12</v>
      </c>
      <c r="R232" t="str">
        <f t="shared" si="21"/>
        <v>4_6__237_08/17/2022_2022_MonMon_OWC_W_PW_Sip_B_20_Nutrients</v>
      </c>
    </row>
    <row r="233" spans="1:18" x14ac:dyDescent="0.25">
      <c r="A233">
        <v>4</v>
      </c>
      <c r="B233">
        <v>7</v>
      </c>
      <c r="D233">
        <v>238</v>
      </c>
      <c r="E233" s="1">
        <v>44790</v>
      </c>
      <c r="F233" s="11">
        <f t="shared" si="20"/>
        <v>44790</v>
      </c>
      <c r="G233">
        <f t="shared" si="18"/>
        <v>2022</v>
      </c>
      <c r="H233">
        <f t="shared" si="19"/>
        <v>8</v>
      </c>
      <c r="I233">
        <f t="shared" si="17"/>
        <v>17</v>
      </c>
      <c r="J233" t="s">
        <v>10</v>
      </c>
      <c r="K233" t="s">
        <v>8</v>
      </c>
      <c r="L233" t="s">
        <v>9</v>
      </c>
      <c r="M233" t="s">
        <v>11</v>
      </c>
      <c r="N233" t="s">
        <v>27</v>
      </c>
      <c r="O233" t="s">
        <v>24</v>
      </c>
      <c r="P233">
        <v>45</v>
      </c>
      <c r="Q233" t="s">
        <v>12</v>
      </c>
      <c r="R233" t="str">
        <f t="shared" si="21"/>
        <v>4_7__238_08/17/2022_2022_MonMon_OWC_W_PW_Sip_B_45_Nutrients</v>
      </c>
    </row>
    <row r="234" spans="1:18" x14ac:dyDescent="0.25">
      <c r="A234">
        <v>4</v>
      </c>
      <c r="B234">
        <v>8</v>
      </c>
      <c r="D234">
        <v>239</v>
      </c>
      <c r="E234" s="1">
        <v>44790</v>
      </c>
      <c r="F234" s="11">
        <f t="shared" si="20"/>
        <v>44790</v>
      </c>
      <c r="G234">
        <f t="shared" si="18"/>
        <v>2022</v>
      </c>
      <c r="H234">
        <f t="shared" si="19"/>
        <v>8</v>
      </c>
      <c r="I234">
        <f t="shared" si="17"/>
        <v>17</v>
      </c>
      <c r="J234" t="s">
        <v>10</v>
      </c>
      <c r="K234" t="s">
        <v>8</v>
      </c>
      <c r="L234" t="s">
        <v>9</v>
      </c>
      <c r="M234" t="s">
        <v>11</v>
      </c>
      <c r="N234" t="s">
        <v>27</v>
      </c>
      <c r="O234" t="s">
        <v>25</v>
      </c>
      <c r="P234">
        <v>20</v>
      </c>
      <c r="Q234" t="s">
        <v>12</v>
      </c>
      <c r="R234" t="str">
        <f t="shared" si="21"/>
        <v>4_8__239_08/17/2022_2022_MonMon_OWC_W_PW_Sip_C_20_Nutrients</v>
      </c>
    </row>
    <row r="235" spans="1:18" x14ac:dyDescent="0.25">
      <c r="A235">
        <v>4</v>
      </c>
      <c r="B235">
        <v>9</v>
      </c>
      <c r="D235">
        <v>240</v>
      </c>
      <c r="E235" s="1">
        <v>44790</v>
      </c>
      <c r="F235" s="11">
        <f t="shared" si="20"/>
        <v>44790</v>
      </c>
      <c r="G235">
        <f t="shared" si="18"/>
        <v>2022</v>
      </c>
      <c r="H235">
        <f t="shared" si="19"/>
        <v>8</v>
      </c>
      <c r="I235">
        <f t="shared" si="17"/>
        <v>17</v>
      </c>
      <c r="J235" t="s">
        <v>10</v>
      </c>
      <c r="K235" t="s">
        <v>8</v>
      </c>
      <c r="L235" t="s">
        <v>9</v>
      </c>
      <c r="M235" t="s">
        <v>11</v>
      </c>
      <c r="N235" t="s">
        <v>27</v>
      </c>
      <c r="O235" t="s">
        <v>25</v>
      </c>
      <c r="P235">
        <v>45</v>
      </c>
      <c r="Q235" t="s">
        <v>12</v>
      </c>
      <c r="R235" t="str">
        <f t="shared" si="21"/>
        <v>4_9__240_08/17/2022_2022_MonMon_OWC_W_PW_Sip_C_45_Nutrients</v>
      </c>
    </row>
    <row r="236" spans="1:18" x14ac:dyDescent="0.25">
      <c r="A236">
        <v>4</v>
      </c>
      <c r="B236">
        <v>11</v>
      </c>
      <c r="D236">
        <v>241</v>
      </c>
      <c r="E236" s="1">
        <v>44790</v>
      </c>
      <c r="F236" s="11">
        <f t="shared" si="20"/>
        <v>44790</v>
      </c>
      <c r="G236">
        <f t="shared" si="18"/>
        <v>2022</v>
      </c>
      <c r="H236">
        <f t="shared" si="19"/>
        <v>8</v>
      </c>
      <c r="I236">
        <f t="shared" si="17"/>
        <v>17</v>
      </c>
      <c r="J236" t="s">
        <v>10</v>
      </c>
      <c r="K236" t="s">
        <v>16</v>
      </c>
      <c r="L236" t="s">
        <v>14</v>
      </c>
      <c r="M236" t="s">
        <v>11</v>
      </c>
      <c r="N236" t="s">
        <v>15</v>
      </c>
      <c r="O236" t="s">
        <v>31</v>
      </c>
      <c r="P236">
        <v>10</v>
      </c>
      <c r="Q236" t="s">
        <v>12</v>
      </c>
      <c r="R236" t="str">
        <f t="shared" si="21"/>
        <v>4_11__241_08/17/2022_2022_MonMon_CRC_TR_PW_Lys_ABC_10_Nutrients</v>
      </c>
    </row>
    <row r="237" spans="1:18" x14ac:dyDescent="0.25">
      <c r="A237">
        <v>4</v>
      </c>
      <c r="B237">
        <v>12</v>
      </c>
      <c r="D237">
        <v>242</v>
      </c>
      <c r="E237" s="1">
        <v>44790</v>
      </c>
      <c r="F237" s="11">
        <f t="shared" si="20"/>
        <v>44790</v>
      </c>
      <c r="G237">
        <f t="shared" si="18"/>
        <v>2022</v>
      </c>
      <c r="H237">
        <f t="shared" si="19"/>
        <v>8</v>
      </c>
      <c r="I237">
        <f t="shared" si="17"/>
        <v>17</v>
      </c>
      <c r="J237" t="s">
        <v>10</v>
      </c>
      <c r="K237" t="s">
        <v>16</v>
      </c>
      <c r="L237" t="s">
        <v>14</v>
      </c>
      <c r="M237" t="s">
        <v>11</v>
      </c>
      <c r="N237" t="s">
        <v>15</v>
      </c>
      <c r="O237" t="s">
        <v>35</v>
      </c>
      <c r="P237">
        <v>20</v>
      </c>
      <c r="Q237" t="s">
        <v>12</v>
      </c>
      <c r="R237" t="str">
        <f t="shared" si="21"/>
        <v>4_12__242_08/17/2022_2022_MonMon_CRC_TR_PW_Lys_AB_20_Nutrients</v>
      </c>
    </row>
    <row r="238" spans="1:18" x14ac:dyDescent="0.25">
      <c r="A238">
        <v>4</v>
      </c>
      <c r="B238">
        <v>13</v>
      </c>
      <c r="D238">
        <v>243</v>
      </c>
      <c r="E238" s="1">
        <v>44790</v>
      </c>
      <c r="F238" s="11">
        <f t="shared" si="20"/>
        <v>44790</v>
      </c>
      <c r="G238">
        <f t="shared" si="18"/>
        <v>2022</v>
      </c>
      <c r="H238">
        <f t="shared" si="19"/>
        <v>8</v>
      </c>
      <c r="I238">
        <f t="shared" si="17"/>
        <v>17</v>
      </c>
      <c r="J238" t="s">
        <v>10</v>
      </c>
      <c r="K238" t="s">
        <v>16</v>
      </c>
      <c r="L238" t="s">
        <v>14</v>
      </c>
      <c r="M238" t="s">
        <v>11</v>
      </c>
      <c r="N238" t="s">
        <v>15</v>
      </c>
      <c r="O238" t="s">
        <v>31</v>
      </c>
      <c r="P238">
        <v>45</v>
      </c>
      <c r="Q238" t="s">
        <v>12</v>
      </c>
      <c r="R238" t="str">
        <f t="shared" si="21"/>
        <v>4_13__243_08/17/2022_2022_MonMon_CRC_TR_PW_Lys_ABC_45_Nutrients</v>
      </c>
    </row>
    <row r="239" spans="1:18" x14ac:dyDescent="0.25">
      <c r="A239">
        <v>4</v>
      </c>
      <c r="B239">
        <v>14</v>
      </c>
      <c r="D239">
        <v>244</v>
      </c>
      <c r="E239" s="1">
        <v>44791</v>
      </c>
      <c r="F239" s="11">
        <f t="shared" si="20"/>
        <v>44791</v>
      </c>
      <c r="G239">
        <f t="shared" si="18"/>
        <v>2022</v>
      </c>
      <c r="H239">
        <f t="shared" si="19"/>
        <v>8</v>
      </c>
      <c r="I239">
        <f t="shared" si="17"/>
        <v>18</v>
      </c>
      <c r="J239" t="s">
        <v>10</v>
      </c>
      <c r="K239" t="s">
        <v>8</v>
      </c>
      <c r="L239" t="s">
        <v>14</v>
      </c>
      <c r="M239" t="s">
        <v>11</v>
      </c>
      <c r="N239" t="s">
        <v>15</v>
      </c>
      <c r="O239" t="s">
        <v>25</v>
      </c>
      <c r="P239">
        <v>20</v>
      </c>
      <c r="Q239" t="s">
        <v>12</v>
      </c>
      <c r="R239" t="str">
        <f t="shared" si="21"/>
        <v>4_14__244_08/18/2022_2022_MonMon_OWC_TR_PW_Lys_C_20_Nutrients</v>
      </c>
    </row>
    <row r="240" spans="1:18" x14ac:dyDescent="0.25">
      <c r="A240">
        <v>4</v>
      </c>
      <c r="B240">
        <v>15</v>
      </c>
      <c r="D240">
        <v>245</v>
      </c>
      <c r="E240" s="1">
        <v>44791</v>
      </c>
      <c r="F240" s="11">
        <f t="shared" si="20"/>
        <v>44791</v>
      </c>
      <c r="G240">
        <f t="shared" si="18"/>
        <v>2022</v>
      </c>
      <c r="H240">
        <f t="shared" si="19"/>
        <v>8</v>
      </c>
      <c r="I240">
        <f t="shared" si="17"/>
        <v>18</v>
      </c>
      <c r="J240" t="s">
        <v>10</v>
      </c>
      <c r="K240" t="s">
        <v>8</v>
      </c>
      <c r="L240" t="s">
        <v>14</v>
      </c>
      <c r="M240" t="s">
        <v>11</v>
      </c>
      <c r="N240" t="s">
        <v>15</v>
      </c>
      <c r="O240" t="s">
        <v>35</v>
      </c>
      <c r="P240">
        <v>45</v>
      </c>
      <c r="Q240" t="s">
        <v>12</v>
      </c>
      <c r="R240" t="str">
        <f t="shared" si="21"/>
        <v>4_15__245_08/18/2022_2022_MonMon_OWC_TR_PW_Lys_AB_45_Nutrients</v>
      </c>
    </row>
    <row r="241" spans="1:18" x14ac:dyDescent="0.25">
      <c r="A241">
        <v>4</v>
      </c>
      <c r="B241">
        <v>16</v>
      </c>
      <c r="D241">
        <v>246</v>
      </c>
      <c r="E241" s="1">
        <v>44791</v>
      </c>
      <c r="F241" s="11">
        <f t="shared" si="20"/>
        <v>44791</v>
      </c>
      <c r="G241">
        <f t="shared" si="18"/>
        <v>2022</v>
      </c>
      <c r="H241">
        <f t="shared" si="19"/>
        <v>8</v>
      </c>
      <c r="I241">
        <f t="shared" si="17"/>
        <v>18</v>
      </c>
      <c r="J241" t="s">
        <v>10</v>
      </c>
      <c r="K241" t="s">
        <v>8</v>
      </c>
      <c r="L241" t="s">
        <v>14</v>
      </c>
      <c r="M241" t="s">
        <v>11</v>
      </c>
      <c r="N241" t="s">
        <v>15</v>
      </c>
      <c r="O241" t="s">
        <v>25</v>
      </c>
      <c r="P241">
        <v>45</v>
      </c>
      <c r="Q241" t="s">
        <v>12</v>
      </c>
      <c r="R241" t="str">
        <f t="shared" si="21"/>
        <v>4_16__246_08/18/2022_2022_MonMon_OWC_TR_PW_Lys_C_45_Nutrients</v>
      </c>
    </row>
    <row r="242" spans="1:18" x14ac:dyDescent="0.25">
      <c r="A242">
        <v>4</v>
      </c>
      <c r="B242">
        <v>17</v>
      </c>
      <c r="D242">
        <v>247</v>
      </c>
      <c r="E242" s="1">
        <v>44791</v>
      </c>
      <c r="F242" s="11">
        <f t="shared" si="20"/>
        <v>44791</v>
      </c>
      <c r="G242">
        <f t="shared" si="18"/>
        <v>2022</v>
      </c>
      <c r="H242">
        <f t="shared" si="19"/>
        <v>8</v>
      </c>
      <c r="I242">
        <f t="shared" si="17"/>
        <v>18</v>
      </c>
      <c r="J242" t="s">
        <v>10</v>
      </c>
      <c r="K242" t="s">
        <v>13</v>
      </c>
      <c r="L242" t="s">
        <v>9</v>
      </c>
      <c r="M242" t="s">
        <v>11</v>
      </c>
      <c r="N242" t="s">
        <v>27</v>
      </c>
      <c r="O242" t="s">
        <v>23</v>
      </c>
      <c r="P242">
        <v>45</v>
      </c>
      <c r="Q242" t="s">
        <v>12</v>
      </c>
      <c r="R242" t="str">
        <f t="shared" si="21"/>
        <v>4_17__247_08/18/2022_2022_MonMon_PTR_W_PW_Sip_A_45_Nutrients</v>
      </c>
    </row>
    <row r="243" spans="1:18" x14ac:dyDescent="0.25">
      <c r="A243">
        <v>4</v>
      </c>
      <c r="B243">
        <v>18</v>
      </c>
      <c r="D243">
        <v>248</v>
      </c>
      <c r="E243" s="1">
        <v>44791</v>
      </c>
      <c r="F243" s="11">
        <f t="shared" si="20"/>
        <v>44791</v>
      </c>
      <c r="G243">
        <f t="shared" si="18"/>
        <v>2022</v>
      </c>
      <c r="H243">
        <f t="shared" si="19"/>
        <v>8</v>
      </c>
      <c r="I243">
        <f t="shared" si="17"/>
        <v>18</v>
      </c>
      <c r="J243" t="s">
        <v>10</v>
      </c>
      <c r="K243" t="s">
        <v>13</v>
      </c>
      <c r="L243" t="s">
        <v>9</v>
      </c>
      <c r="M243" t="s">
        <v>11</v>
      </c>
      <c r="N243" t="s">
        <v>27</v>
      </c>
      <c r="O243" t="s">
        <v>24</v>
      </c>
      <c r="P243">
        <v>20</v>
      </c>
      <c r="Q243" t="s">
        <v>12</v>
      </c>
      <c r="R243" t="str">
        <f t="shared" si="21"/>
        <v>4_18__248_08/18/2022_2022_MonMon_PTR_W_PW_Sip_B_20_Nutrients</v>
      </c>
    </row>
    <row r="244" spans="1:18" x14ac:dyDescent="0.25">
      <c r="A244">
        <v>4</v>
      </c>
      <c r="B244">
        <v>19</v>
      </c>
      <c r="D244">
        <v>249</v>
      </c>
      <c r="E244" s="1">
        <v>44791</v>
      </c>
      <c r="F244" s="11">
        <f t="shared" si="20"/>
        <v>44791</v>
      </c>
      <c r="G244">
        <f t="shared" si="18"/>
        <v>2022</v>
      </c>
      <c r="H244">
        <f t="shared" si="19"/>
        <v>8</v>
      </c>
      <c r="I244">
        <f t="shared" si="17"/>
        <v>18</v>
      </c>
      <c r="J244" t="s">
        <v>10</v>
      </c>
      <c r="K244" t="s">
        <v>13</v>
      </c>
      <c r="L244" t="s">
        <v>9</v>
      </c>
      <c r="M244" t="s">
        <v>11</v>
      </c>
      <c r="N244" t="s">
        <v>27</v>
      </c>
      <c r="O244" t="s">
        <v>25</v>
      </c>
      <c r="P244">
        <v>45</v>
      </c>
      <c r="Q244" t="s">
        <v>12</v>
      </c>
      <c r="R244" t="str">
        <f t="shared" si="21"/>
        <v>4_19__249_08/18/2022_2022_MonMon_PTR_W_PW_Sip_C_45_Nutrients</v>
      </c>
    </row>
    <row r="245" spans="1:18" x14ac:dyDescent="0.25">
      <c r="A245">
        <v>4</v>
      </c>
      <c r="B245">
        <v>21</v>
      </c>
      <c r="D245">
        <v>250</v>
      </c>
      <c r="E245" s="1">
        <v>44834</v>
      </c>
      <c r="F245" s="11">
        <f t="shared" si="20"/>
        <v>44834</v>
      </c>
      <c r="G245">
        <f t="shared" si="18"/>
        <v>2022</v>
      </c>
      <c r="H245">
        <f t="shared" si="19"/>
        <v>9</v>
      </c>
      <c r="I245">
        <f t="shared" si="17"/>
        <v>30</v>
      </c>
      <c r="J245" t="s">
        <v>10</v>
      </c>
      <c r="K245" t="s">
        <v>8</v>
      </c>
      <c r="L245" t="s">
        <v>9</v>
      </c>
      <c r="M245" t="s">
        <v>11</v>
      </c>
      <c r="N245" t="s">
        <v>27</v>
      </c>
      <c r="O245" t="s">
        <v>23</v>
      </c>
      <c r="P245">
        <v>10</v>
      </c>
      <c r="Q245" t="s">
        <v>12</v>
      </c>
      <c r="R245" t="str">
        <f t="shared" si="21"/>
        <v>4_21__250_09/30/2022_2022_MonMon_OWC_W_PW_Sip_A_10_Nutrients</v>
      </c>
    </row>
    <row r="246" spans="1:18" x14ac:dyDescent="0.25">
      <c r="A246">
        <v>4</v>
      </c>
      <c r="B246">
        <v>22</v>
      </c>
      <c r="D246">
        <v>251</v>
      </c>
      <c r="E246" s="1">
        <v>44834</v>
      </c>
      <c r="F246" s="11">
        <f t="shared" si="20"/>
        <v>44834</v>
      </c>
      <c r="G246">
        <f t="shared" si="18"/>
        <v>2022</v>
      </c>
      <c r="H246">
        <f t="shared" si="19"/>
        <v>9</v>
      </c>
      <c r="I246">
        <f t="shared" si="17"/>
        <v>30</v>
      </c>
      <c r="J246" t="s">
        <v>10</v>
      </c>
      <c r="K246" t="s">
        <v>8</v>
      </c>
      <c r="L246" t="s">
        <v>9</v>
      </c>
      <c r="M246" t="s">
        <v>11</v>
      </c>
      <c r="N246" t="s">
        <v>27</v>
      </c>
      <c r="O246" t="s">
        <v>23</v>
      </c>
      <c r="P246">
        <v>20</v>
      </c>
      <c r="Q246" t="s">
        <v>12</v>
      </c>
      <c r="R246" t="str">
        <f t="shared" si="21"/>
        <v>4_22__251_09/30/2022_2022_MonMon_OWC_W_PW_Sip_A_20_Nutrients</v>
      </c>
    </row>
    <row r="247" spans="1:18" x14ac:dyDescent="0.25">
      <c r="A247">
        <v>4</v>
      </c>
      <c r="B247">
        <v>23</v>
      </c>
      <c r="D247">
        <v>252</v>
      </c>
      <c r="E247" s="1">
        <v>44834</v>
      </c>
      <c r="F247" s="11">
        <f t="shared" si="20"/>
        <v>44834</v>
      </c>
      <c r="G247">
        <f t="shared" si="18"/>
        <v>2022</v>
      </c>
      <c r="H247">
        <f t="shared" si="19"/>
        <v>9</v>
      </c>
      <c r="I247">
        <f t="shared" si="17"/>
        <v>30</v>
      </c>
      <c r="J247" t="s">
        <v>10</v>
      </c>
      <c r="K247" t="s">
        <v>8</v>
      </c>
      <c r="L247" t="s">
        <v>9</v>
      </c>
      <c r="M247" t="s">
        <v>11</v>
      </c>
      <c r="N247" t="s">
        <v>27</v>
      </c>
      <c r="O247" t="s">
        <v>23</v>
      </c>
      <c r="P247">
        <v>45</v>
      </c>
      <c r="Q247" t="s">
        <v>12</v>
      </c>
      <c r="R247" t="str">
        <f t="shared" si="21"/>
        <v>4_23__252_09/30/2022_2022_MonMon_OWC_W_PW_Sip_A_45_Nutrients</v>
      </c>
    </row>
    <row r="248" spans="1:18" x14ac:dyDescent="0.25">
      <c r="A248">
        <v>4</v>
      </c>
      <c r="B248">
        <v>24</v>
      </c>
      <c r="D248">
        <v>253</v>
      </c>
      <c r="E248" s="1">
        <v>44834</v>
      </c>
      <c r="F248" s="11">
        <f t="shared" si="20"/>
        <v>44834</v>
      </c>
      <c r="G248">
        <f t="shared" si="18"/>
        <v>2022</v>
      </c>
      <c r="H248">
        <f t="shared" si="19"/>
        <v>9</v>
      </c>
      <c r="I248">
        <f t="shared" ref="I248:I285" si="22">DAY(E248)</f>
        <v>30</v>
      </c>
      <c r="J248" t="s">
        <v>10</v>
      </c>
      <c r="K248" t="s">
        <v>8</v>
      </c>
      <c r="L248" t="s">
        <v>9</v>
      </c>
      <c r="M248" t="s">
        <v>11</v>
      </c>
      <c r="N248" t="s">
        <v>27</v>
      </c>
      <c r="O248" t="s">
        <v>24</v>
      </c>
      <c r="P248">
        <v>10</v>
      </c>
      <c r="Q248" t="s">
        <v>12</v>
      </c>
      <c r="R248" t="str">
        <f t="shared" si="21"/>
        <v>4_24__253_09/30/2022_2022_MonMon_OWC_W_PW_Sip_B_10_Nutrients</v>
      </c>
    </row>
    <row r="249" spans="1:18" x14ac:dyDescent="0.25">
      <c r="A249">
        <v>4</v>
      </c>
      <c r="B249">
        <v>25</v>
      </c>
      <c r="D249">
        <v>254</v>
      </c>
      <c r="E249" s="1">
        <v>44834</v>
      </c>
      <c r="F249" s="11">
        <f t="shared" si="20"/>
        <v>44834</v>
      </c>
      <c r="G249">
        <f t="shared" si="18"/>
        <v>2022</v>
      </c>
      <c r="H249">
        <f t="shared" si="19"/>
        <v>9</v>
      </c>
      <c r="I249">
        <f t="shared" si="22"/>
        <v>30</v>
      </c>
      <c r="J249" t="s">
        <v>10</v>
      </c>
      <c r="K249" t="s">
        <v>8</v>
      </c>
      <c r="L249" t="s">
        <v>9</v>
      </c>
      <c r="M249" t="s">
        <v>11</v>
      </c>
      <c r="N249" t="s">
        <v>27</v>
      </c>
      <c r="O249" t="s">
        <v>24</v>
      </c>
      <c r="P249">
        <v>20</v>
      </c>
      <c r="Q249" t="s">
        <v>12</v>
      </c>
      <c r="R249" t="str">
        <f t="shared" si="21"/>
        <v>4_25__254_09/30/2022_2022_MonMon_OWC_W_PW_Sip_B_20_Nutrients</v>
      </c>
    </row>
    <row r="250" spans="1:18" x14ac:dyDescent="0.25">
      <c r="A250">
        <v>4</v>
      </c>
      <c r="B250">
        <v>26</v>
      </c>
      <c r="D250">
        <v>255</v>
      </c>
      <c r="E250" s="1">
        <v>44834</v>
      </c>
      <c r="F250" s="11">
        <f t="shared" si="20"/>
        <v>44834</v>
      </c>
      <c r="G250">
        <f t="shared" si="18"/>
        <v>2022</v>
      </c>
      <c r="H250">
        <f t="shared" si="19"/>
        <v>9</v>
      </c>
      <c r="I250">
        <f t="shared" si="22"/>
        <v>30</v>
      </c>
      <c r="J250" t="s">
        <v>10</v>
      </c>
      <c r="K250" t="s">
        <v>8</v>
      </c>
      <c r="L250" t="s">
        <v>9</v>
      </c>
      <c r="M250" t="s">
        <v>11</v>
      </c>
      <c r="N250" t="s">
        <v>27</v>
      </c>
      <c r="O250" t="s">
        <v>24</v>
      </c>
      <c r="P250">
        <v>45</v>
      </c>
      <c r="Q250" t="s">
        <v>12</v>
      </c>
      <c r="R250" t="str">
        <f t="shared" si="21"/>
        <v>4_26__255_09/30/2022_2022_MonMon_OWC_W_PW_Sip_B_45_Nutrients</v>
      </c>
    </row>
    <row r="251" spans="1:18" x14ac:dyDescent="0.25">
      <c r="A251">
        <v>4</v>
      </c>
      <c r="B251">
        <v>27</v>
      </c>
      <c r="D251">
        <v>256</v>
      </c>
      <c r="E251" s="1">
        <v>44834</v>
      </c>
      <c r="F251" s="11">
        <f t="shared" si="20"/>
        <v>44834</v>
      </c>
      <c r="G251">
        <f t="shared" si="18"/>
        <v>2022</v>
      </c>
      <c r="H251">
        <f t="shared" si="19"/>
        <v>9</v>
      </c>
      <c r="I251">
        <f t="shared" si="22"/>
        <v>30</v>
      </c>
      <c r="J251" t="s">
        <v>10</v>
      </c>
      <c r="K251" t="s">
        <v>8</v>
      </c>
      <c r="L251" t="s">
        <v>9</v>
      </c>
      <c r="M251" t="s">
        <v>11</v>
      </c>
      <c r="N251" t="s">
        <v>27</v>
      </c>
      <c r="O251" t="s">
        <v>25</v>
      </c>
      <c r="P251">
        <v>20</v>
      </c>
      <c r="Q251" t="s">
        <v>12</v>
      </c>
      <c r="R251" t="str">
        <f t="shared" si="21"/>
        <v>4_27__256_09/30/2022_2022_MonMon_OWC_W_PW_Sip_C_20_Nutrients</v>
      </c>
    </row>
    <row r="252" spans="1:18" x14ac:dyDescent="0.25">
      <c r="A252">
        <v>4</v>
      </c>
      <c r="B252">
        <v>28</v>
      </c>
      <c r="D252">
        <v>257</v>
      </c>
      <c r="E252" s="1">
        <v>44834</v>
      </c>
      <c r="F252" s="11">
        <f t="shared" si="20"/>
        <v>44834</v>
      </c>
      <c r="G252">
        <f t="shared" si="18"/>
        <v>2022</v>
      </c>
      <c r="H252">
        <f t="shared" si="19"/>
        <v>9</v>
      </c>
      <c r="I252">
        <f t="shared" si="22"/>
        <v>30</v>
      </c>
      <c r="J252" t="s">
        <v>10</v>
      </c>
      <c r="K252" t="s">
        <v>8</v>
      </c>
      <c r="L252" t="s">
        <v>9</v>
      </c>
      <c r="M252" t="s">
        <v>11</v>
      </c>
      <c r="N252" t="s">
        <v>27</v>
      </c>
      <c r="O252" t="s">
        <v>25</v>
      </c>
      <c r="P252">
        <v>45</v>
      </c>
      <c r="Q252" t="s">
        <v>12</v>
      </c>
      <c r="R252" t="str">
        <f t="shared" si="21"/>
        <v>4_28__257_09/30/2022_2022_MonMon_OWC_W_PW_Sip_C_45_Nutrients</v>
      </c>
    </row>
    <row r="253" spans="1:18" x14ac:dyDescent="0.25">
      <c r="A253">
        <v>4</v>
      </c>
      <c r="B253">
        <v>29</v>
      </c>
      <c r="D253">
        <v>258</v>
      </c>
      <c r="E253" s="1">
        <v>44820</v>
      </c>
      <c r="F253" s="11">
        <f t="shared" si="20"/>
        <v>44820</v>
      </c>
      <c r="G253">
        <f t="shared" si="18"/>
        <v>2022</v>
      </c>
      <c r="H253">
        <f t="shared" si="19"/>
        <v>9</v>
      </c>
      <c r="I253">
        <f t="shared" si="22"/>
        <v>16</v>
      </c>
      <c r="J253" t="s">
        <v>10</v>
      </c>
      <c r="K253" t="s">
        <v>16</v>
      </c>
      <c r="L253" t="s">
        <v>9</v>
      </c>
      <c r="M253" t="s">
        <v>11</v>
      </c>
      <c r="N253" t="s">
        <v>27</v>
      </c>
      <c r="O253" t="s">
        <v>25</v>
      </c>
      <c r="P253">
        <v>45</v>
      </c>
      <c r="Q253" t="s">
        <v>12</v>
      </c>
      <c r="R253" t="str">
        <f t="shared" si="21"/>
        <v>4_29__258_09/16/2022_2022_MonMon_CRC_W_PW_Sip_C_45_Nutrients</v>
      </c>
    </row>
    <row r="254" spans="1:18" x14ac:dyDescent="0.25">
      <c r="A254">
        <v>4</v>
      </c>
      <c r="B254">
        <v>30</v>
      </c>
      <c r="D254">
        <v>259</v>
      </c>
      <c r="E254" s="1">
        <v>44820</v>
      </c>
      <c r="F254" s="11">
        <f t="shared" si="20"/>
        <v>44820</v>
      </c>
      <c r="G254">
        <f t="shared" si="18"/>
        <v>2022</v>
      </c>
      <c r="H254">
        <f t="shared" si="19"/>
        <v>9</v>
      </c>
      <c r="I254">
        <f t="shared" si="22"/>
        <v>16</v>
      </c>
      <c r="J254" t="s">
        <v>10</v>
      </c>
      <c r="K254" t="s">
        <v>16</v>
      </c>
      <c r="L254" t="s">
        <v>9</v>
      </c>
      <c r="M254" t="s">
        <v>11</v>
      </c>
      <c r="N254" t="s">
        <v>27</v>
      </c>
      <c r="O254" t="s">
        <v>25</v>
      </c>
      <c r="P254">
        <v>45</v>
      </c>
      <c r="Q254" t="s">
        <v>12</v>
      </c>
      <c r="R254" t="str">
        <f t="shared" si="21"/>
        <v>4_30__259_09/16/2022_2022_MonMon_CRC_W_PW_Sip_C_45_Nutrients</v>
      </c>
    </row>
    <row r="255" spans="1:18" x14ac:dyDescent="0.25">
      <c r="A255">
        <v>4</v>
      </c>
      <c r="B255">
        <v>31</v>
      </c>
      <c r="D255">
        <v>260</v>
      </c>
      <c r="E255" s="1">
        <v>44855</v>
      </c>
      <c r="F255" s="11">
        <f t="shared" si="20"/>
        <v>44855</v>
      </c>
      <c r="G255">
        <f t="shared" si="18"/>
        <v>2022</v>
      </c>
      <c r="H255">
        <f t="shared" si="19"/>
        <v>10</v>
      </c>
      <c r="I255">
        <f t="shared" si="22"/>
        <v>21</v>
      </c>
      <c r="J255" t="s">
        <v>10</v>
      </c>
      <c r="K255" t="s">
        <v>8</v>
      </c>
      <c r="L255" t="s">
        <v>9</v>
      </c>
      <c r="M255" t="s">
        <v>11</v>
      </c>
      <c r="N255" t="s">
        <v>27</v>
      </c>
      <c r="O255" t="s">
        <v>23</v>
      </c>
      <c r="P255">
        <v>10</v>
      </c>
      <c r="Q255" t="s">
        <v>12</v>
      </c>
      <c r="R255" t="str">
        <f t="shared" si="21"/>
        <v>4_31__260_10/21/2022_2022_MonMon_OWC_W_PW_Sip_A_10_Nutrients</v>
      </c>
    </row>
    <row r="256" spans="1:18" x14ac:dyDescent="0.25">
      <c r="A256">
        <v>4</v>
      </c>
      <c r="B256">
        <v>32</v>
      </c>
      <c r="D256">
        <v>261</v>
      </c>
      <c r="E256" s="1">
        <v>44855</v>
      </c>
      <c r="F256" s="11">
        <f t="shared" si="20"/>
        <v>44855</v>
      </c>
      <c r="G256">
        <f t="shared" si="18"/>
        <v>2022</v>
      </c>
      <c r="H256">
        <f t="shared" si="19"/>
        <v>10</v>
      </c>
      <c r="I256">
        <f t="shared" si="22"/>
        <v>21</v>
      </c>
      <c r="J256" t="s">
        <v>10</v>
      </c>
      <c r="K256" t="s">
        <v>8</v>
      </c>
      <c r="L256" t="s">
        <v>9</v>
      </c>
      <c r="M256" t="s">
        <v>11</v>
      </c>
      <c r="N256" t="s">
        <v>27</v>
      </c>
      <c r="O256" t="s">
        <v>23</v>
      </c>
      <c r="P256">
        <v>20</v>
      </c>
      <c r="Q256" t="s">
        <v>12</v>
      </c>
      <c r="R256" t="str">
        <f t="shared" si="21"/>
        <v>4_32__261_10/21/2022_2022_MonMon_OWC_W_PW_Sip_A_20_Nutrients</v>
      </c>
    </row>
    <row r="257" spans="1:18" x14ac:dyDescent="0.25">
      <c r="A257">
        <v>4</v>
      </c>
      <c r="B257">
        <v>33</v>
      </c>
      <c r="D257">
        <v>262</v>
      </c>
      <c r="E257" s="1">
        <v>44855</v>
      </c>
      <c r="F257" s="11">
        <f t="shared" si="20"/>
        <v>44855</v>
      </c>
      <c r="G257">
        <f t="shared" si="18"/>
        <v>2022</v>
      </c>
      <c r="H257">
        <f t="shared" si="19"/>
        <v>10</v>
      </c>
      <c r="I257">
        <f t="shared" si="22"/>
        <v>21</v>
      </c>
      <c r="J257" t="s">
        <v>10</v>
      </c>
      <c r="K257" t="s">
        <v>8</v>
      </c>
      <c r="L257" t="s">
        <v>9</v>
      </c>
      <c r="M257" t="s">
        <v>11</v>
      </c>
      <c r="N257" t="s">
        <v>27</v>
      </c>
      <c r="O257" t="s">
        <v>23</v>
      </c>
      <c r="P257">
        <v>45</v>
      </c>
      <c r="Q257" t="s">
        <v>12</v>
      </c>
      <c r="R257" t="str">
        <f t="shared" si="21"/>
        <v>4_33__262_10/21/2022_2022_MonMon_OWC_W_PW_Sip_A_45_Nutrients</v>
      </c>
    </row>
    <row r="258" spans="1:18" x14ac:dyDescent="0.25">
      <c r="A258">
        <v>4</v>
      </c>
      <c r="B258">
        <v>34</v>
      </c>
      <c r="D258">
        <v>263</v>
      </c>
      <c r="E258" s="1">
        <v>44855</v>
      </c>
      <c r="F258" s="11">
        <f t="shared" si="20"/>
        <v>44855</v>
      </c>
      <c r="G258">
        <f t="shared" ref="G258:G285" si="23">YEAR(E258)</f>
        <v>2022</v>
      </c>
      <c r="H258">
        <f t="shared" ref="H258:H285" si="24">MONTH(E258)</f>
        <v>10</v>
      </c>
      <c r="I258">
        <f t="shared" si="22"/>
        <v>21</v>
      </c>
      <c r="J258" t="s">
        <v>10</v>
      </c>
      <c r="K258" t="s">
        <v>8</v>
      </c>
      <c r="L258" t="s">
        <v>9</v>
      </c>
      <c r="M258" t="s">
        <v>11</v>
      </c>
      <c r="N258" t="s">
        <v>27</v>
      </c>
      <c r="O258" t="s">
        <v>24</v>
      </c>
      <c r="P258">
        <v>10</v>
      </c>
      <c r="Q258" t="s">
        <v>12</v>
      </c>
      <c r="R258" t="str">
        <f t="shared" si="21"/>
        <v>4_34__263_10/21/2022_2022_MonMon_OWC_W_PW_Sip_B_10_Nutrients</v>
      </c>
    </row>
    <row r="259" spans="1:18" x14ac:dyDescent="0.25">
      <c r="A259">
        <v>4</v>
      </c>
      <c r="B259">
        <v>35</v>
      </c>
      <c r="D259">
        <v>264</v>
      </c>
      <c r="E259" s="1">
        <v>44855</v>
      </c>
      <c r="F259" s="11">
        <f t="shared" ref="F259:F322" si="25">E259</f>
        <v>44855</v>
      </c>
      <c r="G259">
        <f t="shared" si="23"/>
        <v>2022</v>
      </c>
      <c r="H259">
        <f t="shared" si="24"/>
        <v>10</v>
      </c>
      <c r="I259">
        <f t="shared" si="22"/>
        <v>21</v>
      </c>
      <c r="J259" t="s">
        <v>10</v>
      </c>
      <c r="K259" t="s">
        <v>8</v>
      </c>
      <c r="L259" t="s">
        <v>9</v>
      </c>
      <c r="M259" t="s">
        <v>11</v>
      </c>
      <c r="N259" t="s">
        <v>27</v>
      </c>
      <c r="O259" t="s">
        <v>24</v>
      </c>
      <c r="P259">
        <v>20</v>
      </c>
      <c r="Q259" t="s">
        <v>12</v>
      </c>
      <c r="R259" t="str">
        <f t="shared" ref="R259:R322" si="26">CONCATENATE(A259,"_",B259,"_", C259,"_",D259,"_",TEXT(E259, "mm/dd/yyyy"),"_",G259,"_",J259,"_",K259,"_",L259,"_",M259,"_",N259,"_",O259,"_",P259,"_",Q259)</f>
        <v>4_35__264_10/21/2022_2022_MonMon_OWC_W_PW_Sip_B_20_Nutrients</v>
      </c>
    </row>
    <row r="260" spans="1:18" x14ac:dyDescent="0.25">
      <c r="A260">
        <v>4</v>
      </c>
      <c r="B260">
        <v>36</v>
      </c>
      <c r="D260">
        <v>265</v>
      </c>
      <c r="E260" s="1">
        <v>44855</v>
      </c>
      <c r="F260" s="11">
        <f t="shared" si="25"/>
        <v>44855</v>
      </c>
      <c r="G260">
        <f t="shared" si="23"/>
        <v>2022</v>
      </c>
      <c r="H260">
        <f t="shared" si="24"/>
        <v>10</v>
      </c>
      <c r="I260">
        <f t="shared" si="22"/>
        <v>21</v>
      </c>
      <c r="J260" t="s">
        <v>10</v>
      </c>
      <c r="K260" t="s">
        <v>8</v>
      </c>
      <c r="L260" t="s">
        <v>9</v>
      </c>
      <c r="M260" t="s">
        <v>11</v>
      </c>
      <c r="N260" t="s">
        <v>27</v>
      </c>
      <c r="O260" t="s">
        <v>24</v>
      </c>
      <c r="P260">
        <v>45</v>
      </c>
      <c r="Q260" t="s">
        <v>12</v>
      </c>
      <c r="R260" t="str">
        <f t="shared" si="26"/>
        <v>4_36__265_10/21/2022_2022_MonMon_OWC_W_PW_Sip_B_45_Nutrients</v>
      </c>
    </row>
    <row r="261" spans="1:18" x14ac:dyDescent="0.25">
      <c r="A261">
        <v>4</v>
      </c>
      <c r="B261">
        <v>37</v>
      </c>
      <c r="D261">
        <v>266</v>
      </c>
      <c r="E261" s="1">
        <v>44855</v>
      </c>
      <c r="F261" s="11">
        <f t="shared" si="25"/>
        <v>44855</v>
      </c>
      <c r="G261">
        <f t="shared" si="23"/>
        <v>2022</v>
      </c>
      <c r="H261">
        <f t="shared" si="24"/>
        <v>10</v>
      </c>
      <c r="I261">
        <f t="shared" si="22"/>
        <v>21</v>
      </c>
      <c r="J261" t="s">
        <v>10</v>
      </c>
      <c r="K261" t="s">
        <v>8</v>
      </c>
      <c r="L261" t="s">
        <v>9</v>
      </c>
      <c r="M261" t="s">
        <v>11</v>
      </c>
      <c r="N261" t="s">
        <v>27</v>
      </c>
      <c r="O261" t="s">
        <v>25</v>
      </c>
      <c r="P261">
        <v>10</v>
      </c>
      <c r="Q261" t="s">
        <v>12</v>
      </c>
      <c r="R261" t="str">
        <f t="shared" si="26"/>
        <v>4_37__266_10/21/2022_2022_MonMon_OWC_W_PW_Sip_C_10_Nutrients</v>
      </c>
    </row>
    <row r="262" spans="1:18" x14ac:dyDescent="0.25">
      <c r="A262">
        <v>4</v>
      </c>
      <c r="B262">
        <v>38</v>
      </c>
      <c r="D262">
        <v>267</v>
      </c>
      <c r="E262" s="1">
        <v>44855</v>
      </c>
      <c r="F262" s="11">
        <f t="shared" si="25"/>
        <v>44855</v>
      </c>
      <c r="G262">
        <f t="shared" si="23"/>
        <v>2022</v>
      </c>
      <c r="H262">
        <f t="shared" si="24"/>
        <v>10</v>
      </c>
      <c r="I262">
        <f t="shared" si="22"/>
        <v>21</v>
      </c>
      <c r="J262" t="s">
        <v>10</v>
      </c>
      <c r="K262" t="s">
        <v>8</v>
      </c>
      <c r="L262" t="s">
        <v>9</v>
      </c>
      <c r="M262" t="s">
        <v>11</v>
      </c>
      <c r="N262" t="s">
        <v>27</v>
      </c>
      <c r="O262" t="s">
        <v>25</v>
      </c>
      <c r="P262">
        <v>20</v>
      </c>
      <c r="Q262" t="s">
        <v>12</v>
      </c>
      <c r="R262" t="str">
        <f t="shared" si="26"/>
        <v>4_38__267_10/21/2022_2022_MonMon_OWC_W_PW_Sip_C_20_Nutrients</v>
      </c>
    </row>
    <row r="263" spans="1:18" x14ac:dyDescent="0.25">
      <c r="A263">
        <v>4</v>
      </c>
      <c r="B263">
        <v>39</v>
      </c>
      <c r="D263">
        <v>268</v>
      </c>
      <c r="E263" s="1">
        <v>44855</v>
      </c>
      <c r="F263" s="11">
        <f t="shared" si="25"/>
        <v>44855</v>
      </c>
      <c r="G263">
        <f t="shared" si="23"/>
        <v>2022</v>
      </c>
      <c r="H263">
        <f t="shared" si="24"/>
        <v>10</v>
      </c>
      <c r="I263">
        <f t="shared" si="22"/>
        <v>21</v>
      </c>
      <c r="J263" t="s">
        <v>10</v>
      </c>
      <c r="K263" t="s">
        <v>8</v>
      </c>
      <c r="L263" t="s">
        <v>9</v>
      </c>
      <c r="M263" t="s">
        <v>11</v>
      </c>
      <c r="N263" t="s">
        <v>27</v>
      </c>
      <c r="O263" t="s">
        <v>25</v>
      </c>
      <c r="P263">
        <v>45</v>
      </c>
      <c r="Q263" t="s">
        <v>12</v>
      </c>
      <c r="R263" t="str">
        <f t="shared" si="26"/>
        <v>4_39__268_10/21/2022_2022_MonMon_OWC_W_PW_Sip_C_45_Nutrients</v>
      </c>
    </row>
    <row r="264" spans="1:18" x14ac:dyDescent="0.25">
      <c r="A264">
        <v>4</v>
      </c>
      <c r="B264">
        <v>41</v>
      </c>
      <c r="D264">
        <v>269</v>
      </c>
      <c r="E264" s="1">
        <v>44855</v>
      </c>
      <c r="F264" s="11">
        <f t="shared" si="25"/>
        <v>44855</v>
      </c>
      <c r="G264">
        <f t="shared" si="23"/>
        <v>2022</v>
      </c>
      <c r="H264">
        <f t="shared" si="24"/>
        <v>10</v>
      </c>
      <c r="I264">
        <f t="shared" si="22"/>
        <v>21</v>
      </c>
      <c r="J264" t="s">
        <v>10</v>
      </c>
      <c r="K264" t="s">
        <v>8</v>
      </c>
      <c r="L264" t="s">
        <v>9</v>
      </c>
      <c r="M264" t="s">
        <v>19</v>
      </c>
      <c r="O264">
        <v>1</v>
      </c>
      <c r="Q264" t="s">
        <v>12</v>
      </c>
      <c r="R264" t="str">
        <f t="shared" si="26"/>
        <v>4_41__269_10/21/2022_2022_MonMon_OWC_W_Stand__1__Nutrients</v>
      </c>
    </row>
    <row r="265" spans="1:18" x14ac:dyDescent="0.25">
      <c r="A265">
        <v>4</v>
      </c>
      <c r="B265">
        <v>42</v>
      </c>
      <c r="D265">
        <v>270</v>
      </c>
      <c r="E265" s="1">
        <v>44855</v>
      </c>
      <c r="F265" s="11">
        <f t="shared" si="25"/>
        <v>44855</v>
      </c>
      <c r="G265">
        <f t="shared" si="23"/>
        <v>2022</v>
      </c>
      <c r="H265">
        <f t="shared" si="24"/>
        <v>10</v>
      </c>
      <c r="I265">
        <f t="shared" si="22"/>
        <v>21</v>
      </c>
      <c r="J265" t="s">
        <v>10</v>
      </c>
      <c r="K265" t="s">
        <v>8</v>
      </c>
      <c r="L265" t="s">
        <v>9</v>
      </c>
      <c r="M265" t="s">
        <v>19</v>
      </c>
      <c r="O265">
        <v>1</v>
      </c>
      <c r="Q265" t="s">
        <v>12</v>
      </c>
      <c r="R265" t="str">
        <f t="shared" si="26"/>
        <v>4_42__270_10/21/2022_2022_MonMon_OWC_W_Stand__1__Nutrients</v>
      </c>
    </row>
    <row r="266" spans="1:18" x14ac:dyDescent="0.25">
      <c r="A266">
        <v>4</v>
      </c>
      <c r="B266">
        <v>43</v>
      </c>
      <c r="D266">
        <v>271</v>
      </c>
      <c r="E266" s="1">
        <v>44855</v>
      </c>
      <c r="F266" s="11">
        <f t="shared" si="25"/>
        <v>44855</v>
      </c>
      <c r="G266">
        <f t="shared" si="23"/>
        <v>2022</v>
      </c>
      <c r="H266">
        <f t="shared" si="24"/>
        <v>10</v>
      </c>
      <c r="I266">
        <f t="shared" si="22"/>
        <v>21</v>
      </c>
      <c r="J266" t="s">
        <v>10</v>
      </c>
      <c r="K266" t="s">
        <v>8</v>
      </c>
      <c r="L266" t="s">
        <v>9</v>
      </c>
      <c r="M266" t="s">
        <v>19</v>
      </c>
      <c r="O266">
        <v>1</v>
      </c>
      <c r="Q266" t="s">
        <v>12</v>
      </c>
      <c r="R266" t="str">
        <f t="shared" si="26"/>
        <v>4_43__271_10/21/2022_2022_MonMon_OWC_W_Stand__1__Nutrients</v>
      </c>
    </row>
    <row r="267" spans="1:18" x14ac:dyDescent="0.25">
      <c r="A267">
        <v>4</v>
      </c>
      <c r="B267">
        <v>44</v>
      </c>
      <c r="D267">
        <v>272</v>
      </c>
      <c r="E267" s="1">
        <v>44915</v>
      </c>
      <c r="F267" s="11">
        <f t="shared" si="25"/>
        <v>44915</v>
      </c>
      <c r="G267">
        <f t="shared" si="23"/>
        <v>2022</v>
      </c>
      <c r="H267">
        <f t="shared" si="24"/>
        <v>12</v>
      </c>
      <c r="I267">
        <f t="shared" si="22"/>
        <v>20</v>
      </c>
      <c r="J267" t="s">
        <v>10</v>
      </c>
      <c r="K267" t="s">
        <v>8</v>
      </c>
      <c r="L267" t="s">
        <v>9</v>
      </c>
      <c r="M267" t="s">
        <v>19</v>
      </c>
      <c r="O267" t="s">
        <v>47</v>
      </c>
      <c r="Q267" t="s">
        <v>12</v>
      </c>
      <c r="R267" t="str">
        <f t="shared" si="26"/>
        <v>4_44__272_12/20/2022_2022_MonMon_OWC_W_Stand__?__Nutrients</v>
      </c>
    </row>
    <row r="268" spans="1:18" x14ac:dyDescent="0.25">
      <c r="A268">
        <v>4</v>
      </c>
      <c r="B268">
        <v>45</v>
      </c>
      <c r="D268">
        <v>273</v>
      </c>
      <c r="E268" s="1">
        <v>44915</v>
      </c>
      <c r="F268" s="11">
        <f t="shared" si="25"/>
        <v>44915</v>
      </c>
      <c r="G268">
        <f t="shared" si="23"/>
        <v>2022</v>
      </c>
      <c r="H268">
        <f t="shared" si="24"/>
        <v>12</v>
      </c>
      <c r="I268">
        <f t="shared" si="22"/>
        <v>20</v>
      </c>
      <c r="J268" t="s">
        <v>10</v>
      </c>
      <c r="K268" t="s">
        <v>8</v>
      </c>
      <c r="L268" t="s">
        <v>14</v>
      </c>
      <c r="M268" t="s">
        <v>11</v>
      </c>
      <c r="N268" t="s">
        <v>15</v>
      </c>
      <c r="O268" t="s">
        <v>23</v>
      </c>
      <c r="P268">
        <v>10</v>
      </c>
      <c r="Q268" t="s">
        <v>12</v>
      </c>
      <c r="R268" t="str">
        <f t="shared" si="26"/>
        <v>4_45__273_12/20/2022_2022_MonMon_OWC_TR_PW_Lys_A_10_Nutrients</v>
      </c>
    </row>
    <row r="269" spans="1:18" x14ac:dyDescent="0.25">
      <c r="A269">
        <v>4</v>
      </c>
      <c r="B269">
        <v>46</v>
      </c>
      <c r="D269">
        <v>274</v>
      </c>
      <c r="E269" s="1">
        <v>44915</v>
      </c>
      <c r="F269" s="11">
        <f t="shared" si="25"/>
        <v>44915</v>
      </c>
      <c r="G269">
        <f t="shared" si="23"/>
        <v>2022</v>
      </c>
      <c r="H269">
        <f t="shared" si="24"/>
        <v>12</v>
      </c>
      <c r="I269">
        <f t="shared" si="22"/>
        <v>20</v>
      </c>
      <c r="J269" t="s">
        <v>10</v>
      </c>
      <c r="K269" t="s">
        <v>8</v>
      </c>
      <c r="L269" t="s">
        <v>9</v>
      </c>
      <c r="M269" t="s">
        <v>11</v>
      </c>
      <c r="N269" t="s">
        <v>15</v>
      </c>
      <c r="O269" t="s">
        <v>23</v>
      </c>
      <c r="P269">
        <v>45</v>
      </c>
      <c r="Q269" t="s">
        <v>12</v>
      </c>
      <c r="R269" t="str">
        <f t="shared" si="26"/>
        <v>4_46__274_12/20/2022_2022_MonMon_OWC_W_PW_Lys_A_45_Nutrients</v>
      </c>
    </row>
    <row r="270" spans="1:18" x14ac:dyDescent="0.25">
      <c r="A270">
        <v>4</v>
      </c>
      <c r="B270">
        <v>47</v>
      </c>
      <c r="D270">
        <v>275</v>
      </c>
      <c r="E270" s="1">
        <v>44915</v>
      </c>
      <c r="F270" s="11">
        <f t="shared" si="25"/>
        <v>44915</v>
      </c>
      <c r="G270">
        <f t="shared" si="23"/>
        <v>2022</v>
      </c>
      <c r="H270">
        <f t="shared" si="24"/>
        <v>12</v>
      </c>
      <c r="I270">
        <f t="shared" si="22"/>
        <v>20</v>
      </c>
      <c r="J270" t="s">
        <v>10</v>
      </c>
      <c r="K270" t="s">
        <v>8</v>
      </c>
      <c r="L270" t="s">
        <v>9</v>
      </c>
      <c r="M270" t="s">
        <v>19</v>
      </c>
      <c r="O270">
        <v>2</v>
      </c>
      <c r="Q270" t="s">
        <v>12</v>
      </c>
      <c r="R270" t="str">
        <f t="shared" si="26"/>
        <v>4_47__275_12/20/2022_2022_MonMon_OWC_W_Stand__2__Nutrients</v>
      </c>
    </row>
    <row r="271" spans="1:18" x14ac:dyDescent="0.25">
      <c r="A271">
        <v>4</v>
      </c>
      <c r="B271">
        <v>48</v>
      </c>
      <c r="D271">
        <v>276</v>
      </c>
      <c r="E271" s="1">
        <v>44915</v>
      </c>
      <c r="F271" s="11">
        <f t="shared" si="25"/>
        <v>44915</v>
      </c>
      <c r="G271">
        <f t="shared" si="23"/>
        <v>2022</v>
      </c>
      <c r="H271">
        <f t="shared" si="24"/>
        <v>12</v>
      </c>
      <c r="I271">
        <f t="shared" si="22"/>
        <v>20</v>
      </c>
      <c r="J271" t="s">
        <v>10</v>
      </c>
      <c r="K271" t="s">
        <v>8</v>
      </c>
      <c r="L271" t="s">
        <v>9</v>
      </c>
      <c r="M271" t="s">
        <v>19</v>
      </c>
      <c r="O271">
        <v>3</v>
      </c>
      <c r="Q271" t="s">
        <v>12</v>
      </c>
      <c r="R271" t="str">
        <f t="shared" si="26"/>
        <v>4_48__276_12/20/2022_2022_MonMon_OWC_W_Stand__3__Nutrients</v>
      </c>
    </row>
    <row r="272" spans="1:18" x14ac:dyDescent="0.25">
      <c r="A272">
        <v>4</v>
      </c>
      <c r="B272">
        <v>49</v>
      </c>
      <c r="D272">
        <v>277</v>
      </c>
      <c r="E272" s="1">
        <v>44915</v>
      </c>
      <c r="F272" s="11">
        <f t="shared" si="25"/>
        <v>44915</v>
      </c>
      <c r="G272">
        <f t="shared" si="23"/>
        <v>2022</v>
      </c>
      <c r="H272">
        <f t="shared" si="24"/>
        <v>12</v>
      </c>
      <c r="I272">
        <f t="shared" si="22"/>
        <v>20</v>
      </c>
      <c r="J272" t="s">
        <v>10</v>
      </c>
      <c r="K272" t="s">
        <v>8</v>
      </c>
      <c r="L272" t="s">
        <v>9</v>
      </c>
      <c r="M272" t="s">
        <v>19</v>
      </c>
      <c r="O272" t="s">
        <v>47</v>
      </c>
      <c r="Q272" t="s">
        <v>12</v>
      </c>
      <c r="R272" t="str">
        <f t="shared" si="26"/>
        <v>4_49__277_12/20/2022_2022_MonMon_OWC_W_Stand__?__Nutrients</v>
      </c>
    </row>
    <row r="273" spans="1:18" x14ac:dyDescent="0.25">
      <c r="A273">
        <v>4</v>
      </c>
      <c r="B273">
        <v>51</v>
      </c>
      <c r="D273">
        <v>278</v>
      </c>
      <c r="E273" s="1">
        <v>44915</v>
      </c>
      <c r="F273" s="11">
        <f t="shared" si="25"/>
        <v>44915</v>
      </c>
      <c r="G273">
        <f t="shared" si="23"/>
        <v>2022</v>
      </c>
      <c r="H273">
        <f t="shared" si="24"/>
        <v>12</v>
      </c>
      <c r="I273">
        <f t="shared" si="22"/>
        <v>20</v>
      </c>
      <c r="J273" t="s">
        <v>10</v>
      </c>
      <c r="K273" t="s">
        <v>8</v>
      </c>
      <c r="L273" t="s">
        <v>14</v>
      </c>
      <c r="M273" t="s">
        <v>11</v>
      </c>
      <c r="N273" t="s">
        <v>27</v>
      </c>
      <c r="O273" t="s">
        <v>23</v>
      </c>
      <c r="P273">
        <v>45</v>
      </c>
      <c r="Q273" t="s">
        <v>12</v>
      </c>
      <c r="R273" t="str">
        <f t="shared" si="26"/>
        <v>4_51__278_12/20/2022_2022_MonMon_OWC_TR_PW_Sip_A_45_Nutrients</v>
      </c>
    </row>
    <row r="274" spans="1:18" x14ac:dyDescent="0.25">
      <c r="A274">
        <v>4</v>
      </c>
      <c r="B274">
        <v>52</v>
      </c>
      <c r="D274">
        <v>279</v>
      </c>
      <c r="E274" s="1">
        <v>44915</v>
      </c>
      <c r="F274" s="11">
        <f t="shared" si="25"/>
        <v>44915</v>
      </c>
      <c r="G274">
        <f t="shared" si="23"/>
        <v>2022</v>
      </c>
      <c r="H274">
        <f t="shared" si="24"/>
        <v>12</v>
      </c>
      <c r="I274">
        <f t="shared" si="22"/>
        <v>20</v>
      </c>
      <c r="J274" t="s">
        <v>10</v>
      </c>
      <c r="K274" t="s">
        <v>8</v>
      </c>
      <c r="L274" t="s">
        <v>9</v>
      </c>
      <c r="M274" t="s">
        <v>11</v>
      </c>
      <c r="N274" t="s">
        <v>27</v>
      </c>
      <c r="O274" t="s">
        <v>23</v>
      </c>
      <c r="P274">
        <v>10</v>
      </c>
      <c r="Q274" t="s">
        <v>12</v>
      </c>
      <c r="R274" t="str">
        <f t="shared" si="26"/>
        <v>4_52__279_12/20/2022_2022_MonMon_OWC_W_PW_Sip_A_10_Nutrients</v>
      </c>
    </row>
    <row r="275" spans="1:18" x14ac:dyDescent="0.25">
      <c r="A275">
        <v>4</v>
      </c>
      <c r="B275">
        <v>53</v>
      </c>
      <c r="D275">
        <v>280</v>
      </c>
      <c r="E275" s="1">
        <v>44915</v>
      </c>
      <c r="F275" s="11">
        <f t="shared" si="25"/>
        <v>44915</v>
      </c>
      <c r="G275">
        <f t="shared" si="23"/>
        <v>2022</v>
      </c>
      <c r="H275">
        <f t="shared" si="24"/>
        <v>12</v>
      </c>
      <c r="I275">
        <f t="shared" si="22"/>
        <v>20</v>
      </c>
      <c r="J275" t="s">
        <v>10</v>
      </c>
      <c r="K275" t="s">
        <v>8</v>
      </c>
      <c r="L275" t="s">
        <v>9</v>
      </c>
      <c r="M275" t="s">
        <v>11</v>
      </c>
      <c r="N275" t="s">
        <v>27</v>
      </c>
      <c r="O275" t="s">
        <v>23</v>
      </c>
      <c r="P275">
        <v>20</v>
      </c>
      <c r="Q275" t="s">
        <v>12</v>
      </c>
      <c r="R275" t="str">
        <f t="shared" si="26"/>
        <v>4_53__280_12/20/2022_2022_MonMon_OWC_W_PW_Sip_A_20_Nutrients</v>
      </c>
    </row>
    <row r="276" spans="1:18" x14ac:dyDescent="0.25">
      <c r="A276">
        <v>4</v>
      </c>
      <c r="B276">
        <v>54</v>
      </c>
      <c r="D276">
        <v>281</v>
      </c>
      <c r="E276" s="1">
        <v>44915</v>
      </c>
      <c r="F276" s="11">
        <f t="shared" si="25"/>
        <v>44915</v>
      </c>
      <c r="G276">
        <f t="shared" si="23"/>
        <v>2022</v>
      </c>
      <c r="H276">
        <f t="shared" si="24"/>
        <v>12</v>
      </c>
      <c r="I276">
        <f t="shared" si="22"/>
        <v>20</v>
      </c>
      <c r="J276" t="s">
        <v>10</v>
      </c>
      <c r="K276" t="s">
        <v>8</v>
      </c>
      <c r="L276" t="s">
        <v>9</v>
      </c>
      <c r="M276" t="s">
        <v>11</v>
      </c>
      <c r="N276" t="s">
        <v>27</v>
      </c>
      <c r="O276" t="s">
        <v>23</v>
      </c>
      <c r="P276">
        <v>45</v>
      </c>
      <c r="Q276" t="s">
        <v>12</v>
      </c>
      <c r="R276" t="str">
        <f t="shared" si="26"/>
        <v>4_54__281_12/20/2022_2022_MonMon_OWC_W_PW_Sip_A_45_Nutrients</v>
      </c>
    </row>
    <row r="277" spans="1:18" x14ac:dyDescent="0.25">
      <c r="A277">
        <v>4</v>
      </c>
      <c r="B277">
        <v>55</v>
      </c>
      <c r="D277">
        <v>282</v>
      </c>
      <c r="E277" s="1">
        <v>44915</v>
      </c>
      <c r="F277" s="11">
        <f t="shared" si="25"/>
        <v>44915</v>
      </c>
      <c r="G277">
        <f t="shared" si="23"/>
        <v>2022</v>
      </c>
      <c r="H277">
        <f t="shared" si="24"/>
        <v>12</v>
      </c>
      <c r="I277">
        <f t="shared" si="22"/>
        <v>20</v>
      </c>
      <c r="J277" t="s">
        <v>10</v>
      </c>
      <c r="K277" t="s">
        <v>8</v>
      </c>
      <c r="L277" t="s">
        <v>9</v>
      </c>
      <c r="M277" t="s">
        <v>11</v>
      </c>
      <c r="N277" t="s">
        <v>27</v>
      </c>
      <c r="O277" t="s">
        <v>25</v>
      </c>
      <c r="P277">
        <v>10</v>
      </c>
      <c r="Q277" t="s">
        <v>12</v>
      </c>
      <c r="R277" t="str">
        <f t="shared" si="26"/>
        <v>4_55__282_12/20/2022_2022_MonMon_OWC_W_PW_Sip_C_10_Nutrients</v>
      </c>
    </row>
    <row r="278" spans="1:18" x14ac:dyDescent="0.25">
      <c r="A278">
        <v>4</v>
      </c>
      <c r="B278">
        <v>56</v>
      </c>
      <c r="D278">
        <v>283</v>
      </c>
      <c r="E278" s="1">
        <v>44915</v>
      </c>
      <c r="F278" s="11">
        <f t="shared" si="25"/>
        <v>44915</v>
      </c>
      <c r="G278">
        <f t="shared" si="23"/>
        <v>2022</v>
      </c>
      <c r="H278">
        <f t="shared" si="24"/>
        <v>12</v>
      </c>
      <c r="I278">
        <f t="shared" si="22"/>
        <v>20</v>
      </c>
      <c r="J278" t="s">
        <v>10</v>
      </c>
      <c r="K278" t="s">
        <v>8</v>
      </c>
      <c r="L278" t="s">
        <v>9</v>
      </c>
      <c r="M278" t="s">
        <v>11</v>
      </c>
      <c r="N278" t="s">
        <v>27</v>
      </c>
      <c r="O278" t="s">
        <v>25</v>
      </c>
      <c r="P278">
        <v>20</v>
      </c>
      <c r="Q278" t="s">
        <v>12</v>
      </c>
      <c r="R278" t="str">
        <f t="shared" si="26"/>
        <v>4_56__283_12/20/2022_2022_MonMon_OWC_W_PW_Sip_C_20_Nutrients</v>
      </c>
    </row>
    <row r="279" spans="1:18" x14ac:dyDescent="0.25">
      <c r="A279">
        <v>4</v>
      </c>
      <c r="B279">
        <v>57</v>
      </c>
      <c r="D279">
        <v>284</v>
      </c>
      <c r="E279" s="1">
        <v>44915</v>
      </c>
      <c r="F279" s="11">
        <f t="shared" si="25"/>
        <v>44915</v>
      </c>
      <c r="G279">
        <f t="shared" si="23"/>
        <v>2022</v>
      </c>
      <c r="H279">
        <f t="shared" si="24"/>
        <v>12</v>
      </c>
      <c r="I279">
        <f t="shared" si="22"/>
        <v>20</v>
      </c>
      <c r="J279" t="s">
        <v>10</v>
      </c>
      <c r="K279" t="s">
        <v>8</v>
      </c>
      <c r="L279" t="s">
        <v>9</v>
      </c>
      <c r="M279" t="s">
        <v>11</v>
      </c>
      <c r="N279" t="s">
        <v>27</v>
      </c>
      <c r="O279" t="s">
        <v>25</v>
      </c>
      <c r="P279">
        <v>45</v>
      </c>
      <c r="Q279" t="s">
        <v>12</v>
      </c>
      <c r="R279" t="str">
        <f t="shared" si="26"/>
        <v>4_57__284_12/20/2022_2022_MonMon_OWC_W_PW_Sip_C_45_Nutrients</v>
      </c>
    </row>
    <row r="280" spans="1:18" x14ac:dyDescent="0.25">
      <c r="A280">
        <v>4</v>
      </c>
      <c r="B280">
        <v>58</v>
      </c>
      <c r="D280">
        <v>285</v>
      </c>
      <c r="E280" s="1">
        <v>44915</v>
      </c>
      <c r="F280" s="11">
        <f t="shared" si="25"/>
        <v>44915</v>
      </c>
      <c r="G280">
        <f t="shared" si="23"/>
        <v>2022</v>
      </c>
      <c r="H280">
        <f t="shared" si="24"/>
        <v>12</v>
      </c>
      <c r="I280">
        <f t="shared" si="22"/>
        <v>20</v>
      </c>
      <c r="J280" t="s">
        <v>10</v>
      </c>
      <c r="K280" t="s">
        <v>8</v>
      </c>
      <c r="L280" t="s">
        <v>14</v>
      </c>
      <c r="M280" t="s">
        <v>11</v>
      </c>
      <c r="N280" t="s">
        <v>27</v>
      </c>
      <c r="O280" t="s">
        <v>24</v>
      </c>
      <c r="P280">
        <v>20</v>
      </c>
      <c r="Q280" t="s">
        <v>12</v>
      </c>
      <c r="R280" t="str">
        <f t="shared" si="26"/>
        <v>4_58__285_12/20/2022_2022_MonMon_OWC_TR_PW_Sip_B_20_Nutrients</v>
      </c>
    </row>
    <row r="281" spans="1:18" x14ac:dyDescent="0.25">
      <c r="A281">
        <v>4</v>
      </c>
      <c r="B281">
        <v>59</v>
      </c>
      <c r="D281">
        <v>286</v>
      </c>
      <c r="E281" s="1">
        <v>44915</v>
      </c>
      <c r="F281" s="11">
        <f t="shared" si="25"/>
        <v>44915</v>
      </c>
      <c r="G281">
        <f t="shared" si="23"/>
        <v>2022</v>
      </c>
      <c r="H281">
        <f t="shared" si="24"/>
        <v>12</v>
      </c>
      <c r="I281">
        <f t="shared" si="22"/>
        <v>20</v>
      </c>
      <c r="J281" t="s">
        <v>10</v>
      </c>
      <c r="K281" t="s">
        <v>8</v>
      </c>
      <c r="L281" t="s">
        <v>9</v>
      </c>
      <c r="M281" t="s">
        <v>11</v>
      </c>
      <c r="N281" t="s">
        <v>27</v>
      </c>
      <c r="O281" t="s">
        <v>25</v>
      </c>
      <c r="P281">
        <v>10</v>
      </c>
      <c r="Q281" t="s">
        <v>12</v>
      </c>
      <c r="R281" t="str">
        <f t="shared" si="26"/>
        <v>4_59__286_12/20/2022_2022_MonMon_OWC_W_PW_Sip_C_10_Nutrients</v>
      </c>
    </row>
    <row r="282" spans="1:18" x14ac:dyDescent="0.25">
      <c r="A282">
        <v>4</v>
      </c>
      <c r="B282">
        <v>61</v>
      </c>
      <c r="D282">
        <v>287</v>
      </c>
      <c r="E282" s="1">
        <v>44915</v>
      </c>
      <c r="F282" s="11">
        <f t="shared" si="25"/>
        <v>44915</v>
      </c>
      <c r="G282">
        <f t="shared" si="23"/>
        <v>2022</v>
      </c>
      <c r="H282">
        <f t="shared" si="24"/>
        <v>12</v>
      </c>
      <c r="I282">
        <f t="shared" si="22"/>
        <v>20</v>
      </c>
      <c r="J282" t="s">
        <v>10</v>
      </c>
      <c r="K282" t="s">
        <v>8</v>
      </c>
      <c r="L282" t="s">
        <v>14</v>
      </c>
      <c r="M282" t="s">
        <v>11</v>
      </c>
      <c r="N282" t="s">
        <v>27</v>
      </c>
      <c r="O282" t="s">
        <v>24</v>
      </c>
      <c r="P282">
        <v>45</v>
      </c>
      <c r="Q282" t="s">
        <v>12</v>
      </c>
      <c r="R282" t="str">
        <f t="shared" si="26"/>
        <v>4_61__287_12/20/2022_2022_MonMon_OWC_TR_PW_Sip_B_45_Nutrients</v>
      </c>
    </row>
    <row r="283" spans="1:18" x14ac:dyDescent="0.25">
      <c r="A283">
        <v>4</v>
      </c>
      <c r="B283">
        <v>62</v>
      </c>
      <c r="D283">
        <v>288</v>
      </c>
      <c r="E283" s="1">
        <v>44915</v>
      </c>
      <c r="F283" s="11">
        <f t="shared" si="25"/>
        <v>44915</v>
      </c>
      <c r="G283">
        <f t="shared" si="23"/>
        <v>2022</v>
      </c>
      <c r="H283">
        <f t="shared" si="24"/>
        <v>12</v>
      </c>
      <c r="I283">
        <f t="shared" si="22"/>
        <v>20</v>
      </c>
      <c r="J283" t="s">
        <v>10</v>
      </c>
      <c r="K283" t="s">
        <v>8</v>
      </c>
      <c r="L283" t="s">
        <v>14</v>
      </c>
      <c r="M283" t="s">
        <v>11</v>
      </c>
      <c r="N283" t="s">
        <v>27</v>
      </c>
      <c r="O283" t="s">
        <v>25</v>
      </c>
      <c r="P283">
        <v>45</v>
      </c>
      <c r="Q283" t="s">
        <v>12</v>
      </c>
      <c r="R283" t="str">
        <f t="shared" si="26"/>
        <v>4_62__288_12/20/2022_2022_MonMon_OWC_TR_PW_Sip_C_45_Nutrients</v>
      </c>
    </row>
    <row r="284" spans="1:18" x14ac:dyDescent="0.25">
      <c r="A284">
        <v>4</v>
      </c>
      <c r="B284">
        <v>63</v>
      </c>
      <c r="D284" t="s">
        <v>48</v>
      </c>
      <c r="E284" s="1">
        <v>44915</v>
      </c>
      <c r="F284" s="11">
        <f t="shared" si="25"/>
        <v>44915</v>
      </c>
      <c r="G284">
        <f t="shared" si="23"/>
        <v>2022</v>
      </c>
      <c r="H284">
        <f t="shared" si="24"/>
        <v>12</v>
      </c>
      <c r="I284">
        <f t="shared" si="22"/>
        <v>20</v>
      </c>
      <c r="J284" t="s">
        <v>10</v>
      </c>
      <c r="K284" t="s">
        <v>8</v>
      </c>
      <c r="L284" t="s">
        <v>14</v>
      </c>
      <c r="M284" t="s">
        <v>11</v>
      </c>
      <c r="N284" t="s">
        <v>27</v>
      </c>
      <c r="O284" t="s">
        <v>24</v>
      </c>
      <c r="P284">
        <v>45</v>
      </c>
      <c r="Q284" t="s">
        <v>12</v>
      </c>
      <c r="R284" t="str">
        <f t="shared" si="26"/>
        <v>4_63__NA_12/20/2022_2022_MonMon_OWC_TR_PW_Sip_B_45_Nutrients</v>
      </c>
    </row>
    <row r="285" spans="1:18" x14ac:dyDescent="0.25">
      <c r="A285">
        <v>4</v>
      </c>
      <c r="B285">
        <v>64</v>
      </c>
      <c r="D285" t="s">
        <v>48</v>
      </c>
      <c r="E285" s="1">
        <v>44915</v>
      </c>
      <c r="F285" s="11">
        <f t="shared" si="25"/>
        <v>44915</v>
      </c>
      <c r="G285">
        <f t="shared" si="23"/>
        <v>2022</v>
      </c>
      <c r="H285">
        <f t="shared" si="24"/>
        <v>12</v>
      </c>
      <c r="I285">
        <f t="shared" si="22"/>
        <v>20</v>
      </c>
      <c r="J285" t="s">
        <v>10</v>
      </c>
      <c r="K285" t="s">
        <v>8</v>
      </c>
      <c r="L285" t="s">
        <v>14</v>
      </c>
      <c r="M285" t="s">
        <v>11</v>
      </c>
      <c r="N285" t="s">
        <v>27</v>
      </c>
      <c r="O285" t="s">
        <v>25</v>
      </c>
      <c r="P285">
        <v>45</v>
      </c>
      <c r="Q285" t="s">
        <v>12</v>
      </c>
      <c r="R285" t="str">
        <f t="shared" si="26"/>
        <v>4_64__NA_12/20/2022_2022_MonMon_OWC_TR_PW_Sip_C_45_Nutrients</v>
      </c>
    </row>
    <row r="286" spans="1:18" x14ac:dyDescent="0.25">
      <c r="A286">
        <v>5</v>
      </c>
      <c r="B286">
        <v>1</v>
      </c>
      <c r="D286">
        <v>289</v>
      </c>
      <c r="E286" s="1">
        <v>44803</v>
      </c>
      <c r="F286" s="11">
        <f t="shared" si="25"/>
        <v>44803</v>
      </c>
      <c r="G286">
        <f t="shared" ref="G286:G321" si="27">YEAR(E286)</f>
        <v>2022</v>
      </c>
      <c r="H286">
        <f t="shared" ref="H286:H321" si="28">MONTH(E286)</f>
        <v>8</v>
      </c>
      <c r="I286">
        <f t="shared" ref="I286:I311" si="29">DAY(E286)</f>
        <v>30</v>
      </c>
      <c r="K286" t="s">
        <v>30</v>
      </c>
      <c r="L286" t="s">
        <v>9</v>
      </c>
      <c r="M286" t="s">
        <v>26</v>
      </c>
      <c r="N286" t="s">
        <v>18</v>
      </c>
      <c r="O286">
        <v>1</v>
      </c>
      <c r="P286" s="3">
        <v>0.25</v>
      </c>
      <c r="Q286" t="s">
        <v>12</v>
      </c>
      <c r="R286" t="str">
        <f t="shared" si="26"/>
        <v>5_1__289_08/30/2022_2022__MSM_W_RZ_Rz_1_0.25_Nutrients</v>
      </c>
    </row>
    <row r="287" spans="1:18" x14ac:dyDescent="0.25">
      <c r="A287">
        <v>5</v>
      </c>
      <c r="B287">
        <v>2</v>
      </c>
      <c r="D287">
        <v>290</v>
      </c>
      <c r="E287" s="1">
        <v>44803</v>
      </c>
      <c r="F287" s="11">
        <f t="shared" si="25"/>
        <v>44803</v>
      </c>
      <c r="G287">
        <f t="shared" si="27"/>
        <v>2022</v>
      </c>
      <c r="H287">
        <f t="shared" si="28"/>
        <v>8</v>
      </c>
      <c r="I287">
        <f t="shared" si="29"/>
        <v>30</v>
      </c>
      <c r="K287" t="s">
        <v>30</v>
      </c>
      <c r="L287" t="s">
        <v>9</v>
      </c>
      <c r="M287" t="s">
        <v>26</v>
      </c>
      <c r="N287" t="s">
        <v>18</v>
      </c>
      <c r="O287">
        <v>2</v>
      </c>
      <c r="P287" s="3">
        <v>0.25</v>
      </c>
      <c r="Q287" t="s">
        <v>12</v>
      </c>
      <c r="R287" t="str">
        <f t="shared" si="26"/>
        <v>5_2__290_08/30/2022_2022__MSM_W_RZ_Rz_2_0.25_Nutrients</v>
      </c>
    </row>
    <row r="288" spans="1:18" x14ac:dyDescent="0.25">
      <c r="A288">
        <v>5</v>
      </c>
      <c r="B288">
        <v>3</v>
      </c>
      <c r="D288">
        <v>291</v>
      </c>
      <c r="E288" s="1">
        <v>44803</v>
      </c>
      <c r="F288" s="11">
        <f t="shared" si="25"/>
        <v>44803</v>
      </c>
      <c r="G288">
        <f t="shared" si="27"/>
        <v>2022</v>
      </c>
      <c r="H288">
        <f t="shared" si="28"/>
        <v>8</v>
      </c>
      <c r="I288">
        <f t="shared" si="29"/>
        <v>30</v>
      </c>
      <c r="K288" t="s">
        <v>30</v>
      </c>
      <c r="L288" t="s">
        <v>9</v>
      </c>
      <c r="M288" t="s">
        <v>26</v>
      </c>
      <c r="N288" t="s">
        <v>18</v>
      </c>
      <c r="O288">
        <v>3</v>
      </c>
      <c r="P288" s="3">
        <v>0.25</v>
      </c>
      <c r="Q288" t="s">
        <v>12</v>
      </c>
      <c r="R288" t="str">
        <f t="shared" si="26"/>
        <v>5_3__291_08/30/2022_2022__MSM_W_RZ_Rz_3_0.25_Nutrients</v>
      </c>
    </row>
    <row r="289" spans="1:18" x14ac:dyDescent="0.25">
      <c r="A289">
        <v>5</v>
      </c>
      <c r="B289">
        <v>4</v>
      </c>
      <c r="D289">
        <v>292</v>
      </c>
      <c r="E289" s="1">
        <v>44803</v>
      </c>
      <c r="F289" s="11">
        <f t="shared" si="25"/>
        <v>44803</v>
      </c>
      <c r="G289">
        <f t="shared" si="27"/>
        <v>2022</v>
      </c>
      <c r="H289">
        <f t="shared" si="28"/>
        <v>8</v>
      </c>
      <c r="I289">
        <f t="shared" si="29"/>
        <v>30</v>
      </c>
      <c r="K289" t="s">
        <v>30</v>
      </c>
      <c r="L289" t="s">
        <v>9</v>
      </c>
      <c r="M289" t="s">
        <v>26</v>
      </c>
      <c r="N289" t="s">
        <v>18</v>
      </c>
      <c r="O289">
        <v>4</v>
      </c>
      <c r="P289" s="3">
        <v>0.25</v>
      </c>
      <c r="Q289" t="s">
        <v>12</v>
      </c>
      <c r="R289" t="str">
        <f t="shared" si="26"/>
        <v>5_4__292_08/30/2022_2022__MSM_W_RZ_Rz_4_0.25_Nutrients</v>
      </c>
    </row>
    <row r="290" spans="1:18" x14ac:dyDescent="0.25">
      <c r="A290">
        <v>5</v>
      </c>
      <c r="B290">
        <v>5</v>
      </c>
      <c r="D290">
        <v>293</v>
      </c>
      <c r="E290" s="1">
        <v>44803</v>
      </c>
      <c r="F290" s="11">
        <f t="shared" si="25"/>
        <v>44803</v>
      </c>
      <c r="G290">
        <f t="shared" si="27"/>
        <v>2022</v>
      </c>
      <c r="H290">
        <f t="shared" si="28"/>
        <v>8</v>
      </c>
      <c r="I290">
        <f t="shared" si="29"/>
        <v>30</v>
      </c>
      <c r="K290" t="s">
        <v>30</v>
      </c>
      <c r="L290" t="s">
        <v>9</v>
      </c>
      <c r="M290" t="s">
        <v>26</v>
      </c>
      <c r="N290" t="s">
        <v>18</v>
      </c>
      <c r="O290">
        <v>5</v>
      </c>
      <c r="P290" s="3">
        <v>0.25</v>
      </c>
      <c r="Q290" t="s">
        <v>12</v>
      </c>
      <c r="R290" t="str">
        <f t="shared" si="26"/>
        <v>5_5__293_08/30/2022_2022__MSM_W_RZ_Rz_5_0.25_Nutrients</v>
      </c>
    </row>
    <row r="291" spans="1:18" x14ac:dyDescent="0.25">
      <c r="A291">
        <v>5</v>
      </c>
      <c r="B291">
        <v>6</v>
      </c>
      <c r="D291">
        <v>294</v>
      </c>
      <c r="E291" s="1">
        <v>44803</v>
      </c>
      <c r="F291" s="11">
        <f t="shared" si="25"/>
        <v>44803</v>
      </c>
      <c r="G291">
        <f t="shared" si="27"/>
        <v>2022</v>
      </c>
      <c r="H291">
        <f t="shared" si="28"/>
        <v>8</v>
      </c>
      <c r="I291">
        <f t="shared" si="29"/>
        <v>30</v>
      </c>
      <c r="K291" t="s">
        <v>30</v>
      </c>
      <c r="L291" t="s">
        <v>9</v>
      </c>
      <c r="M291" t="s">
        <v>26</v>
      </c>
      <c r="N291" t="s">
        <v>18</v>
      </c>
      <c r="O291">
        <v>6</v>
      </c>
      <c r="P291" s="3">
        <v>0.25</v>
      </c>
      <c r="Q291" t="s">
        <v>12</v>
      </c>
      <c r="R291" t="str">
        <f t="shared" si="26"/>
        <v>5_6__294_08/30/2022_2022__MSM_W_RZ_Rz_6_0.25_Nutrients</v>
      </c>
    </row>
    <row r="292" spans="1:18" x14ac:dyDescent="0.25">
      <c r="A292">
        <v>5</v>
      </c>
      <c r="B292">
        <v>7</v>
      </c>
      <c r="D292">
        <v>295</v>
      </c>
      <c r="E292" s="1">
        <v>44803</v>
      </c>
      <c r="F292" s="11">
        <f t="shared" si="25"/>
        <v>44803</v>
      </c>
      <c r="G292">
        <f t="shared" si="27"/>
        <v>2022</v>
      </c>
      <c r="H292">
        <f t="shared" si="28"/>
        <v>8</v>
      </c>
      <c r="I292">
        <f t="shared" si="29"/>
        <v>30</v>
      </c>
      <c r="K292" t="s">
        <v>30</v>
      </c>
      <c r="L292" t="s">
        <v>9</v>
      </c>
      <c r="M292" t="s">
        <v>26</v>
      </c>
      <c r="N292" t="s">
        <v>18</v>
      </c>
      <c r="O292">
        <v>7</v>
      </c>
      <c r="P292" s="3">
        <v>0.25</v>
      </c>
      <c r="Q292" t="s">
        <v>12</v>
      </c>
      <c r="R292" t="str">
        <f t="shared" si="26"/>
        <v>5_7__295_08/30/2022_2022__MSM_W_RZ_Rz_7_0.25_Nutrients</v>
      </c>
    </row>
    <row r="293" spans="1:18" x14ac:dyDescent="0.25">
      <c r="A293">
        <v>5</v>
      </c>
      <c r="B293">
        <v>8</v>
      </c>
      <c r="D293">
        <v>296</v>
      </c>
      <c r="E293" s="1">
        <v>44803</v>
      </c>
      <c r="F293" s="11">
        <f t="shared" si="25"/>
        <v>44803</v>
      </c>
      <c r="G293">
        <f t="shared" si="27"/>
        <v>2022</v>
      </c>
      <c r="H293">
        <f t="shared" si="28"/>
        <v>8</v>
      </c>
      <c r="I293">
        <f t="shared" si="29"/>
        <v>30</v>
      </c>
      <c r="K293" t="s">
        <v>30</v>
      </c>
      <c r="L293" t="s">
        <v>9</v>
      </c>
      <c r="M293" t="s">
        <v>26</v>
      </c>
      <c r="N293" t="s">
        <v>18</v>
      </c>
      <c r="O293">
        <v>8</v>
      </c>
      <c r="P293" s="3">
        <v>0.25</v>
      </c>
      <c r="Q293" t="s">
        <v>12</v>
      </c>
      <c r="R293" t="str">
        <f t="shared" si="26"/>
        <v>5_8__296_08/30/2022_2022__MSM_W_RZ_Rz_8_0.25_Nutrients</v>
      </c>
    </row>
    <row r="294" spans="1:18" x14ac:dyDescent="0.25">
      <c r="A294">
        <v>5</v>
      </c>
      <c r="B294">
        <v>11</v>
      </c>
      <c r="D294">
        <v>297</v>
      </c>
      <c r="E294" s="1">
        <v>44803</v>
      </c>
      <c r="F294" s="11">
        <f t="shared" si="25"/>
        <v>44803</v>
      </c>
      <c r="G294">
        <f t="shared" si="27"/>
        <v>2022</v>
      </c>
      <c r="H294">
        <f t="shared" si="28"/>
        <v>8</v>
      </c>
      <c r="I294">
        <f t="shared" si="29"/>
        <v>30</v>
      </c>
      <c r="K294" t="s">
        <v>30</v>
      </c>
      <c r="L294" t="s">
        <v>9</v>
      </c>
      <c r="M294" t="s">
        <v>26</v>
      </c>
      <c r="N294" t="s">
        <v>18</v>
      </c>
      <c r="O294">
        <v>1</v>
      </c>
      <c r="P294" s="3">
        <v>0.5</v>
      </c>
      <c r="Q294" t="s">
        <v>12</v>
      </c>
      <c r="R294" t="str">
        <f t="shared" si="26"/>
        <v>5_11__297_08/30/2022_2022__MSM_W_RZ_Rz_1_0.5_Nutrients</v>
      </c>
    </row>
    <row r="295" spans="1:18" x14ac:dyDescent="0.25">
      <c r="A295">
        <v>5</v>
      </c>
      <c r="B295">
        <v>12</v>
      </c>
      <c r="D295">
        <v>298</v>
      </c>
      <c r="E295" s="1">
        <v>44803</v>
      </c>
      <c r="F295" s="11">
        <f t="shared" si="25"/>
        <v>44803</v>
      </c>
      <c r="G295">
        <f t="shared" si="27"/>
        <v>2022</v>
      </c>
      <c r="H295">
        <f t="shared" si="28"/>
        <v>8</v>
      </c>
      <c r="I295">
        <f t="shared" si="29"/>
        <v>30</v>
      </c>
      <c r="K295" t="s">
        <v>30</v>
      </c>
      <c r="L295" t="s">
        <v>9</v>
      </c>
      <c r="M295" t="s">
        <v>26</v>
      </c>
      <c r="N295" t="s">
        <v>18</v>
      </c>
      <c r="O295">
        <v>2</v>
      </c>
      <c r="P295" s="3">
        <v>0.5</v>
      </c>
      <c r="Q295" t="s">
        <v>12</v>
      </c>
      <c r="R295" t="str">
        <f t="shared" si="26"/>
        <v>5_12__298_08/30/2022_2022__MSM_W_RZ_Rz_2_0.5_Nutrients</v>
      </c>
    </row>
    <row r="296" spans="1:18" x14ac:dyDescent="0.25">
      <c r="A296">
        <v>5</v>
      </c>
      <c r="B296">
        <v>13</v>
      </c>
      <c r="D296">
        <v>299</v>
      </c>
      <c r="E296" s="1">
        <v>44803</v>
      </c>
      <c r="F296" s="11">
        <f t="shared" si="25"/>
        <v>44803</v>
      </c>
      <c r="G296">
        <f t="shared" si="27"/>
        <v>2022</v>
      </c>
      <c r="H296">
        <f t="shared" si="28"/>
        <v>8</v>
      </c>
      <c r="I296">
        <f t="shared" si="29"/>
        <v>30</v>
      </c>
      <c r="K296" t="s">
        <v>30</v>
      </c>
      <c r="L296" t="s">
        <v>9</v>
      </c>
      <c r="M296" t="s">
        <v>26</v>
      </c>
      <c r="N296" t="s">
        <v>18</v>
      </c>
      <c r="O296">
        <v>3</v>
      </c>
      <c r="P296" s="3">
        <v>0.5</v>
      </c>
      <c r="Q296" t="s">
        <v>12</v>
      </c>
      <c r="R296" t="str">
        <f t="shared" si="26"/>
        <v>5_13__299_08/30/2022_2022__MSM_W_RZ_Rz_3_0.5_Nutrients</v>
      </c>
    </row>
    <row r="297" spans="1:18" x14ac:dyDescent="0.25">
      <c r="A297">
        <v>5</v>
      </c>
      <c r="B297">
        <v>14</v>
      </c>
      <c r="D297">
        <v>300</v>
      </c>
      <c r="E297" s="1">
        <v>44803</v>
      </c>
      <c r="F297" s="11">
        <f t="shared" si="25"/>
        <v>44803</v>
      </c>
      <c r="G297">
        <f t="shared" si="27"/>
        <v>2022</v>
      </c>
      <c r="H297">
        <f t="shared" si="28"/>
        <v>8</v>
      </c>
      <c r="I297">
        <f t="shared" si="29"/>
        <v>30</v>
      </c>
      <c r="K297" t="s">
        <v>30</v>
      </c>
      <c r="L297" t="s">
        <v>9</v>
      </c>
      <c r="M297" t="s">
        <v>26</v>
      </c>
      <c r="N297" t="s">
        <v>18</v>
      </c>
      <c r="O297">
        <v>4</v>
      </c>
      <c r="P297" s="3">
        <v>0.5</v>
      </c>
      <c r="Q297" t="s">
        <v>12</v>
      </c>
      <c r="R297" t="str">
        <f t="shared" si="26"/>
        <v>5_14__300_08/30/2022_2022__MSM_W_RZ_Rz_4_0.5_Nutrients</v>
      </c>
    </row>
    <row r="298" spans="1:18" x14ac:dyDescent="0.25">
      <c r="A298">
        <v>5</v>
      </c>
      <c r="B298">
        <v>15</v>
      </c>
      <c r="D298">
        <v>301</v>
      </c>
      <c r="E298" s="1">
        <v>44803</v>
      </c>
      <c r="F298" s="11">
        <f t="shared" si="25"/>
        <v>44803</v>
      </c>
      <c r="G298">
        <f t="shared" si="27"/>
        <v>2022</v>
      </c>
      <c r="H298">
        <f t="shared" si="28"/>
        <v>8</v>
      </c>
      <c r="I298">
        <f t="shared" si="29"/>
        <v>30</v>
      </c>
      <c r="K298" t="s">
        <v>30</v>
      </c>
      <c r="L298" t="s">
        <v>9</v>
      </c>
      <c r="M298" t="s">
        <v>26</v>
      </c>
      <c r="N298" t="s">
        <v>18</v>
      </c>
      <c r="O298">
        <v>5</v>
      </c>
      <c r="P298" s="3">
        <v>0.5</v>
      </c>
      <c r="Q298" t="s">
        <v>12</v>
      </c>
      <c r="R298" t="str">
        <f t="shared" si="26"/>
        <v>5_15__301_08/30/2022_2022__MSM_W_RZ_Rz_5_0.5_Nutrients</v>
      </c>
    </row>
    <row r="299" spans="1:18" x14ac:dyDescent="0.25">
      <c r="A299">
        <v>5</v>
      </c>
      <c r="B299">
        <v>16</v>
      </c>
      <c r="D299">
        <v>302</v>
      </c>
      <c r="E299" s="1">
        <v>44803</v>
      </c>
      <c r="F299" s="11">
        <f t="shared" si="25"/>
        <v>44803</v>
      </c>
      <c r="G299">
        <f t="shared" si="27"/>
        <v>2022</v>
      </c>
      <c r="H299">
        <f t="shared" si="28"/>
        <v>8</v>
      </c>
      <c r="I299">
        <f t="shared" si="29"/>
        <v>30</v>
      </c>
      <c r="K299" t="s">
        <v>30</v>
      </c>
      <c r="L299" t="s">
        <v>9</v>
      </c>
      <c r="M299" t="s">
        <v>26</v>
      </c>
      <c r="N299" t="s">
        <v>18</v>
      </c>
      <c r="O299">
        <v>6</v>
      </c>
      <c r="P299" s="3">
        <v>0.5</v>
      </c>
      <c r="Q299" t="s">
        <v>12</v>
      </c>
      <c r="R299" t="str">
        <f t="shared" si="26"/>
        <v>5_16__302_08/30/2022_2022__MSM_W_RZ_Rz_6_0.5_Nutrients</v>
      </c>
    </row>
    <row r="300" spans="1:18" x14ac:dyDescent="0.25">
      <c r="A300">
        <v>5</v>
      </c>
      <c r="B300">
        <v>17</v>
      </c>
      <c r="D300">
        <v>303</v>
      </c>
      <c r="E300" s="1">
        <v>44803</v>
      </c>
      <c r="F300" s="11">
        <f t="shared" si="25"/>
        <v>44803</v>
      </c>
      <c r="G300">
        <f t="shared" si="27"/>
        <v>2022</v>
      </c>
      <c r="H300">
        <f t="shared" si="28"/>
        <v>8</v>
      </c>
      <c r="I300">
        <f t="shared" si="29"/>
        <v>30</v>
      </c>
      <c r="K300" t="s">
        <v>30</v>
      </c>
      <c r="L300" t="s">
        <v>9</v>
      </c>
      <c r="M300" t="s">
        <v>26</v>
      </c>
      <c r="N300" t="s">
        <v>18</v>
      </c>
      <c r="O300">
        <v>7</v>
      </c>
      <c r="P300" s="3">
        <v>0.5</v>
      </c>
      <c r="Q300" t="s">
        <v>12</v>
      </c>
      <c r="R300" t="str">
        <f t="shared" si="26"/>
        <v>5_17__303_08/30/2022_2022__MSM_W_RZ_Rz_7_0.5_Nutrients</v>
      </c>
    </row>
    <row r="301" spans="1:18" x14ac:dyDescent="0.25">
      <c r="A301">
        <v>5</v>
      </c>
      <c r="B301">
        <v>18</v>
      </c>
      <c r="D301">
        <v>304</v>
      </c>
      <c r="E301" s="1">
        <v>44803</v>
      </c>
      <c r="F301" s="11">
        <f t="shared" si="25"/>
        <v>44803</v>
      </c>
      <c r="G301">
        <f t="shared" si="27"/>
        <v>2022</v>
      </c>
      <c r="H301">
        <f t="shared" si="28"/>
        <v>8</v>
      </c>
      <c r="I301">
        <f t="shared" si="29"/>
        <v>30</v>
      </c>
      <c r="K301" t="s">
        <v>30</v>
      </c>
      <c r="L301" t="s">
        <v>9</v>
      </c>
      <c r="M301" t="s">
        <v>26</v>
      </c>
      <c r="N301" t="s">
        <v>18</v>
      </c>
      <c r="O301">
        <v>8</v>
      </c>
      <c r="P301" s="3">
        <v>0.5</v>
      </c>
      <c r="Q301" t="s">
        <v>12</v>
      </c>
      <c r="R301" t="str">
        <f t="shared" si="26"/>
        <v>5_18__304_08/30/2022_2022__MSM_W_RZ_Rz_8_0.5_Nutrients</v>
      </c>
    </row>
    <row r="302" spans="1:18" x14ac:dyDescent="0.25">
      <c r="A302">
        <v>5</v>
      </c>
      <c r="B302">
        <v>21</v>
      </c>
      <c r="D302">
        <v>305</v>
      </c>
      <c r="E302" s="1">
        <v>44803</v>
      </c>
      <c r="F302" s="11">
        <f t="shared" si="25"/>
        <v>44803</v>
      </c>
      <c r="G302">
        <f t="shared" si="27"/>
        <v>2022</v>
      </c>
      <c r="H302">
        <f t="shared" si="28"/>
        <v>8</v>
      </c>
      <c r="I302">
        <f t="shared" si="29"/>
        <v>30</v>
      </c>
      <c r="K302" t="s">
        <v>30</v>
      </c>
      <c r="L302" t="s">
        <v>9</v>
      </c>
      <c r="M302" t="s">
        <v>26</v>
      </c>
      <c r="N302" t="s">
        <v>18</v>
      </c>
      <c r="O302" s="2" t="s">
        <v>36</v>
      </c>
      <c r="P302" s="3">
        <v>0.625</v>
      </c>
      <c r="Q302" t="s">
        <v>12</v>
      </c>
      <c r="R302" t="str">
        <f t="shared" si="26"/>
        <v>5_21__305_08/30/2022_2022__MSM_W_RZ_Rz_1 2 _0.625_Nutrients</v>
      </c>
    </row>
    <row r="303" spans="1:18" x14ac:dyDescent="0.25">
      <c r="A303">
        <v>5</v>
      </c>
      <c r="B303">
        <v>23</v>
      </c>
      <c r="D303">
        <v>306</v>
      </c>
      <c r="E303" s="1">
        <v>44803</v>
      </c>
      <c r="F303" s="11">
        <f t="shared" si="25"/>
        <v>44803</v>
      </c>
      <c r="G303">
        <f t="shared" si="27"/>
        <v>2022</v>
      </c>
      <c r="H303">
        <f t="shared" si="28"/>
        <v>8</v>
      </c>
      <c r="I303">
        <f t="shared" si="29"/>
        <v>30</v>
      </c>
      <c r="K303" t="s">
        <v>30</v>
      </c>
      <c r="L303" t="s">
        <v>9</v>
      </c>
      <c r="M303" t="s">
        <v>26</v>
      </c>
      <c r="N303" t="s">
        <v>18</v>
      </c>
      <c r="O303" s="2" t="s">
        <v>37</v>
      </c>
      <c r="P303" s="3">
        <v>0.625</v>
      </c>
      <c r="Q303" t="s">
        <v>12</v>
      </c>
      <c r="R303" t="str">
        <f t="shared" si="26"/>
        <v>5_23__306_08/30/2022_2022__MSM_W_RZ_Rz_3 4_0.625_Nutrients</v>
      </c>
    </row>
    <row r="304" spans="1:18" x14ac:dyDescent="0.25">
      <c r="A304">
        <v>5</v>
      </c>
      <c r="B304">
        <v>26</v>
      </c>
      <c r="D304">
        <v>307</v>
      </c>
      <c r="E304" s="1">
        <v>44803</v>
      </c>
      <c r="F304" s="11">
        <f t="shared" si="25"/>
        <v>44803</v>
      </c>
      <c r="G304">
        <f t="shared" si="27"/>
        <v>2022</v>
      </c>
      <c r="H304">
        <f t="shared" si="28"/>
        <v>8</v>
      </c>
      <c r="I304">
        <f t="shared" si="29"/>
        <v>30</v>
      </c>
      <c r="K304" t="s">
        <v>30</v>
      </c>
      <c r="L304" t="s">
        <v>9</v>
      </c>
      <c r="M304" t="s">
        <v>26</v>
      </c>
      <c r="N304" t="s">
        <v>18</v>
      </c>
      <c r="O304">
        <v>6</v>
      </c>
      <c r="P304" s="3">
        <v>0.625</v>
      </c>
      <c r="Q304" t="s">
        <v>12</v>
      </c>
      <c r="R304" t="str">
        <f t="shared" si="26"/>
        <v>5_26__307_08/30/2022_2022__MSM_W_RZ_Rz_6_0.625_Nutrients</v>
      </c>
    </row>
    <row r="305" spans="1:18" x14ac:dyDescent="0.25">
      <c r="A305">
        <v>5</v>
      </c>
      <c r="B305">
        <v>27</v>
      </c>
      <c r="D305">
        <v>308</v>
      </c>
      <c r="E305" s="1">
        <v>44803</v>
      </c>
      <c r="F305" s="11">
        <f t="shared" si="25"/>
        <v>44803</v>
      </c>
      <c r="G305">
        <f t="shared" si="27"/>
        <v>2022</v>
      </c>
      <c r="H305">
        <f t="shared" si="28"/>
        <v>8</v>
      </c>
      <c r="I305">
        <f t="shared" si="29"/>
        <v>30</v>
      </c>
      <c r="K305" t="s">
        <v>30</v>
      </c>
      <c r="L305" t="s">
        <v>9</v>
      </c>
      <c r="M305" t="s">
        <v>26</v>
      </c>
      <c r="N305" t="s">
        <v>18</v>
      </c>
      <c r="O305">
        <v>7</v>
      </c>
      <c r="P305" s="3">
        <v>0.625</v>
      </c>
      <c r="Q305" t="s">
        <v>12</v>
      </c>
      <c r="R305" t="str">
        <f t="shared" si="26"/>
        <v>5_27__308_08/30/2022_2022__MSM_W_RZ_Rz_7_0.625_Nutrients</v>
      </c>
    </row>
    <row r="306" spans="1:18" x14ac:dyDescent="0.25">
      <c r="A306">
        <v>5</v>
      </c>
      <c r="B306">
        <v>31</v>
      </c>
      <c r="D306">
        <v>309</v>
      </c>
      <c r="E306" s="1">
        <v>44803</v>
      </c>
      <c r="F306" s="11">
        <f t="shared" si="25"/>
        <v>44803</v>
      </c>
      <c r="G306">
        <f t="shared" si="27"/>
        <v>2022</v>
      </c>
      <c r="H306">
        <f t="shared" si="28"/>
        <v>8</v>
      </c>
      <c r="I306">
        <f t="shared" si="29"/>
        <v>30</v>
      </c>
      <c r="K306" t="s">
        <v>30</v>
      </c>
      <c r="L306" t="s">
        <v>14</v>
      </c>
      <c r="M306" t="s">
        <v>26</v>
      </c>
      <c r="N306" t="s">
        <v>18</v>
      </c>
      <c r="O306">
        <v>1</v>
      </c>
      <c r="P306" s="3">
        <v>0.25</v>
      </c>
      <c r="Q306" t="s">
        <v>12</v>
      </c>
      <c r="R306" t="str">
        <f t="shared" si="26"/>
        <v>5_31__309_08/30/2022_2022__MSM_TR_RZ_Rz_1_0.25_Nutrients</v>
      </c>
    </row>
    <row r="307" spans="1:18" x14ac:dyDescent="0.25">
      <c r="A307">
        <v>5</v>
      </c>
      <c r="B307">
        <v>32</v>
      </c>
      <c r="D307">
        <v>310</v>
      </c>
      <c r="E307" s="1">
        <v>44803</v>
      </c>
      <c r="F307" s="11">
        <f t="shared" si="25"/>
        <v>44803</v>
      </c>
      <c r="G307">
        <f t="shared" si="27"/>
        <v>2022</v>
      </c>
      <c r="H307">
        <f t="shared" si="28"/>
        <v>8</v>
      </c>
      <c r="I307">
        <f t="shared" si="29"/>
        <v>30</v>
      </c>
      <c r="K307" t="s">
        <v>30</v>
      </c>
      <c r="L307" t="s">
        <v>14</v>
      </c>
      <c r="M307" t="s">
        <v>26</v>
      </c>
      <c r="N307" t="s">
        <v>18</v>
      </c>
      <c r="O307">
        <v>2</v>
      </c>
      <c r="P307" s="3">
        <v>0.25</v>
      </c>
      <c r="Q307" t="s">
        <v>12</v>
      </c>
      <c r="R307" t="str">
        <f t="shared" si="26"/>
        <v>5_32__310_08/30/2022_2022__MSM_TR_RZ_Rz_2_0.25_Nutrients</v>
      </c>
    </row>
    <row r="308" spans="1:18" x14ac:dyDescent="0.25">
      <c r="A308">
        <v>5</v>
      </c>
      <c r="B308">
        <v>33</v>
      </c>
      <c r="D308">
        <v>311</v>
      </c>
      <c r="E308" s="1">
        <v>44803</v>
      </c>
      <c r="F308" s="11">
        <f t="shared" si="25"/>
        <v>44803</v>
      </c>
      <c r="G308">
        <f t="shared" si="27"/>
        <v>2022</v>
      </c>
      <c r="H308">
        <f t="shared" si="28"/>
        <v>8</v>
      </c>
      <c r="I308">
        <f t="shared" si="29"/>
        <v>30</v>
      </c>
      <c r="K308" t="s">
        <v>30</v>
      </c>
      <c r="L308" t="s">
        <v>14</v>
      </c>
      <c r="M308" t="s">
        <v>26</v>
      </c>
      <c r="N308" t="s">
        <v>18</v>
      </c>
      <c r="O308">
        <v>3</v>
      </c>
      <c r="P308" s="3">
        <v>0.25</v>
      </c>
      <c r="Q308" t="s">
        <v>12</v>
      </c>
      <c r="R308" t="str">
        <f t="shared" si="26"/>
        <v>5_33__311_08/30/2022_2022__MSM_TR_RZ_Rz_3_0.25_Nutrients</v>
      </c>
    </row>
    <row r="309" spans="1:18" x14ac:dyDescent="0.25">
      <c r="A309">
        <v>5</v>
      </c>
      <c r="B309">
        <v>34</v>
      </c>
      <c r="D309">
        <v>312</v>
      </c>
      <c r="E309" s="1">
        <v>44803</v>
      </c>
      <c r="F309" s="11">
        <f t="shared" si="25"/>
        <v>44803</v>
      </c>
      <c r="G309">
        <f t="shared" si="27"/>
        <v>2022</v>
      </c>
      <c r="H309">
        <f t="shared" si="28"/>
        <v>8</v>
      </c>
      <c r="I309">
        <f t="shared" si="29"/>
        <v>30</v>
      </c>
      <c r="K309" t="s">
        <v>30</v>
      </c>
      <c r="L309" t="s">
        <v>14</v>
      </c>
      <c r="M309" t="s">
        <v>26</v>
      </c>
      <c r="N309" t="s">
        <v>18</v>
      </c>
      <c r="O309">
        <v>4</v>
      </c>
      <c r="P309" s="3">
        <v>0.25</v>
      </c>
      <c r="Q309" t="s">
        <v>12</v>
      </c>
      <c r="R309" t="str">
        <f t="shared" si="26"/>
        <v>5_34__312_08/30/2022_2022__MSM_TR_RZ_Rz_4_0.25_Nutrients</v>
      </c>
    </row>
    <row r="310" spans="1:18" x14ac:dyDescent="0.25">
      <c r="A310">
        <v>5</v>
      </c>
      <c r="B310">
        <v>35</v>
      </c>
      <c r="D310">
        <v>313</v>
      </c>
      <c r="E310" s="1">
        <v>44803</v>
      </c>
      <c r="F310" s="11">
        <f t="shared" si="25"/>
        <v>44803</v>
      </c>
      <c r="G310">
        <f t="shared" si="27"/>
        <v>2022</v>
      </c>
      <c r="H310">
        <f t="shared" si="28"/>
        <v>8</v>
      </c>
      <c r="I310">
        <f t="shared" si="29"/>
        <v>30</v>
      </c>
      <c r="K310" t="s">
        <v>30</v>
      </c>
      <c r="L310" t="s">
        <v>14</v>
      </c>
      <c r="M310" t="s">
        <v>26</v>
      </c>
      <c r="N310" t="s">
        <v>18</v>
      </c>
      <c r="O310">
        <v>5</v>
      </c>
      <c r="P310" s="3">
        <v>0.25</v>
      </c>
      <c r="Q310" t="s">
        <v>12</v>
      </c>
      <c r="R310" t="str">
        <f t="shared" si="26"/>
        <v>5_35__313_08/30/2022_2022__MSM_TR_RZ_Rz_5_0.25_Nutrients</v>
      </c>
    </row>
    <row r="311" spans="1:18" x14ac:dyDescent="0.25">
      <c r="A311">
        <v>5</v>
      </c>
      <c r="B311">
        <v>36</v>
      </c>
      <c r="D311">
        <v>314</v>
      </c>
      <c r="E311" s="1">
        <v>44803</v>
      </c>
      <c r="F311" s="11">
        <f t="shared" si="25"/>
        <v>44803</v>
      </c>
      <c r="G311">
        <f t="shared" si="27"/>
        <v>2022</v>
      </c>
      <c r="H311">
        <f t="shared" si="28"/>
        <v>8</v>
      </c>
      <c r="I311">
        <f t="shared" si="29"/>
        <v>30</v>
      </c>
      <c r="K311" t="s">
        <v>30</v>
      </c>
      <c r="L311" t="s">
        <v>14</v>
      </c>
      <c r="M311" t="s">
        <v>26</v>
      </c>
      <c r="N311" t="s">
        <v>18</v>
      </c>
      <c r="O311">
        <v>6</v>
      </c>
      <c r="P311" s="3">
        <v>0.25</v>
      </c>
      <c r="Q311" t="s">
        <v>12</v>
      </c>
      <c r="R311" t="str">
        <f t="shared" si="26"/>
        <v>5_36__314_08/30/2022_2022__MSM_TR_RZ_Rz_6_0.25_Nutrients</v>
      </c>
    </row>
    <row r="312" spans="1:18" x14ac:dyDescent="0.25">
      <c r="A312">
        <v>5</v>
      </c>
      <c r="B312">
        <v>37</v>
      </c>
      <c r="D312">
        <v>315</v>
      </c>
      <c r="E312" s="1">
        <v>44803</v>
      </c>
      <c r="F312" s="11">
        <f t="shared" si="25"/>
        <v>44803</v>
      </c>
      <c r="G312">
        <f t="shared" si="27"/>
        <v>2022</v>
      </c>
      <c r="H312">
        <f t="shared" si="28"/>
        <v>8</v>
      </c>
      <c r="I312">
        <f t="shared" ref="I312:I375" si="30">DAY(E312)</f>
        <v>30</v>
      </c>
      <c r="K312" t="s">
        <v>30</v>
      </c>
      <c r="L312" t="s">
        <v>14</v>
      </c>
      <c r="M312" t="s">
        <v>26</v>
      </c>
      <c r="N312" t="s">
        <v>18</v>
      </c>
      <c r="O312">
        <v>7</v>
      </c>
      <c r="P312" s="3">
        <v>0.25</v>
      </c>
      <c r="Q312" t="s">
        <v>12</v>
      </c>
      <c r="R312" t="str">
        <f t="shared" si="26"/>
        <v>5_37__315_08/30/2022_2022__MSM_TR_RZ_Rz_7_0.25_Nutrients</v>
      </c>
    </row>
    <row r="313" spans="1:18" x14ac:dyDescent="0.25">
      <c r="A313">
        <v>5</v>
      </c>
      <c r="B313">
        <v>38</v>
      </c>
      <c r="D313">
        <v>316</v>
      </c>
      <c r="E313" s="1">
        <v>44803</v>
      </c>
      <c r="F313" s="11">
        <f t="shared" si="25"/>
        <v>44803</v>
      </c>
      <c r="G313">
        <f t="shared" si="27"/>
        <v>2022</v>
      </c>
      <c r="H313">
        <f t="shared" si="28"/>
        <v>8</v>
      </c>
      <c r="I313">
        <f t="shared" si="30"/>
        <v>30</v>
      </c>
      <c r="K313" t="s">
        <v>30</v>
      </c>
      <c r="L313" t="s">
        <v>14</v>
      </c>
      <c r="M313" t="s">
        <v>26</v>
      </c>
      <c r="N313" t="s">
        <v>18</v>
      </c>
      <c r="O313">
        <v>8</v>
      </c>
      <c r="P313" s="3">
        <v>0.25</v>
      </c>
      <c r="Q313" t="s">
        <v>12</v>
      </c>
      <c r="R313" t="str">
        <f t="shared" si="26"/>
        <v>5_38__316_08/30/2022_2022__MSM_TR_RZ_Rz_8_0.25_Nutrients</v>
      </c>
    </row>
    <row r="314" spans="1:18" x14ac:dyDescent="0.25">
      <c r="A314">
        <v>5</v>
      </c>
      <c r="B314">
        <v>39</v>
      </c>
      <c r="D314">
        <v>317</v>
      </c>
      <c r="E314" s="1">
        <v>44803</v>
      </c>
      <c r="F314" s="11">
        <f t="shared" si="25"/>
        <v>44803</v>
      </c>
      <c r="G314">
        <f t="shared" si="27"/>
        <v>2022</v>
      </c>
      <c r="H314">
        <f t="shared" si="28"/>
        <v>8</v>
      </c>
      <c r="I314">
        <f t="shared" si="30"/>
        <v>30</v>
      </c>
      <c r="K314" t="s">
        <v>30</v>
      </c>
      <c r="L314" t="s">
        <v>14</v>
      </c>
      <c r="M314" t="s">
        <v>26</v>
      </c>
      <c r="N314" t="s">
        <v>18</v>
      </c>
      <c r="O314">
        <v>5</v>
      </c>
      <c r="P314" s="3">
        <v>0.25</v>
      </c>
      <c r="Q314" t="s">
        <v>12</v>
      </c>
      <c r="R314" t="str">
        <f t="shared" si="26"/>
        <v>5_39__317_08/30/2022_2022__MSM_TR_RZ_Rz_5_0.25_Nutrients</v>
      </c>
    </row>
    <row r="315" spans="1:18" x14ac:dyDescent="0.25">
      <c r="A315">
        <v>5</v>
      </c>
      <c r="B315">
        <v>41</v>
      </c>
      <c r="D315">
        <v>318</v>
      </c>
      <c r="E315" s="1">
        <v>44803</v>
      </c>
      <c r="F315" s="11">
        <f t="shared" si="25"/>
        <v>44803</v>
      </c>
      <c r="G315">
        <f t="shared" si="27"/>
        <v>2022</v>
      </c>
      <c r="H315">
        <f t="shared" si="28"/>
        <v>8</v>
      </c>
      <c r="I315">
        <f t="shared" si="30"/>
        <v>30</v>
      </c>
      <c r="K315" t="s">
        <v>30</v>
      </c>
      <c r="L315" t="s">
        <v>14</v>
      </c>
      <c r="M315" t="s">
        <v>26</v>
      </c>
      <c r="N315" t="s">
        <v>18</v>
      </c>
      <c r="O315">
        <v>1</v>
      </c>
      <c r="P315" s="3">
        <v>0.5</v>
      </c>
      <c r="Q315" t="s">
        <v>12</v>
      </c>
      <c r="R315" t="str">
        <f t="shared" si="26"/>
        <v>5_41__318_08/30/2022_2022__MSM_TR_RZ_Rz_1_0.5_Nutrients</v>
      </c>
    </row>
    <row r="316" spans="1:18" x14ac:dyDescent="0.25">
      <c r="A316">
        <v>5</v>
      </c>
      <c r="B316">
        <v>42</v>
      </c>
      <c r="D316">
        <v>319</v>
      </c>
      <c r="E316" s="1">
        <v>44803</v>
      </c>
      <c r="F316" s="11">
        <f t="shared" si="25"/>
        <v>44803</v>
      </c>
      <c r="G316">
        <f t="shared" si="27"/>
        <v>2022</v>
      </c>
      <c r="H316">
        <f t="shared" si="28"/>
        <v>8</v>
      </c>
      <c r="I316">
        <f t="shared" si="30"/>
        <v>30</v>
      </c>
      <c r="K316" t="s">
        <v>30</v>
      </c>
      <c r="L316" t="s">
        <v>14</v>
      </c>
      <c r="M316" t="s">
        <v>26</v>
      </c>
      <c r="N316" t="s">
        <v>18</v>
      </c>
      <c r="O316">
        <v>2</v>
      </c>
      <c r="P316" s="3">
        <v>0.5</v>
      </c>
      <c r="Q316" t="s">
        <v>12</v>
      </c>
      <c r="R316" t="str">
        <f t="shared" si="26"/>
        <v>5_42__319_08/30/2022_2022__MSM_TR_RZ_Rz_2_0.5_Nutrients</v>
      </c>
    </row>
    <row r="317" spans="1:18" x14ac:dyDescent="0.25">
      <c r="A317">
        <v>5</v>
      </c>
      <c r="B317">
        <v>43</v>
      </c>
      <c r="D317">
        <v>320</v>
      </c>
      <c r="E317" s="1">
        <v>44803</v>
      </c>
      <c r="F317" s="11">
        <f t="shared" si="25"/>
        <v>44803</v>
      </c>
      <c r="G317">
        <f t="shared" si="27"/>
        <v>2022</v>
      </c>
      <c r="H317">
        <f t="shared" si="28"/>
        <v>8</v>
      </c>
      <c r="I317">
        <f t="shared" si="30"/>
        <v>30</v>
      </c>
      <c r="K317" t="s">
        <v>30</v>
      </c>
      <c r="L317" t="s">
        <v>14</v>
      </c>
      <c r="M317" t="s">
        <v>26</v>
      </c>
      <c r="N317" t="s">
        <v>18</v>
      </c>
      <c r="O317">
        <v>3</v>
      </c>
      <c r="P317" s="3">
        <v>0.5</v>
      </c>
      <c r="Q317" t="s">
        <v>12</v>
      </c>
      <c r="R317" t="str">
        <f t="shared" si="26"/>
        <v>5_43__320_08/30/2022_2022__MSM_TR_RZ_Rz_3_0.5_Nutrients</v>
      </c>
    </row>
    <row r="318" spans="1:18" x14ac:dyDescent="0.25">
      <c r="A318">
        <v>5</v>
      </c>
      <c r="B318">
        <v>44</v>
      </c>
      <c r="D318">
        <v>321</v>
      </c>
      <c r="E318" s="1">
        <v>44803</v>
      </c>
      <c r="F318" s="11">
        <f t="shared" si="25"/>
        <v>44803</v>
      </c>
      <c r="G318">
        <f t="shared" si="27"/>
        <v>2022</v>
      </c>
      <c r="H318">
        <f t="shared" si="28"/>
        <v>8</v>
      </c>
      <c r="I318">
        <f t="shared" si="30"/>
        <v>30</v>
      </c>
      <c r="K318" t="s">
        <v>30</v>
      </c>
      <c r="L318" t="s">
        <v>14</v>
      </c>
      <c r="M318" t="s">
        <v>26</v>
      </c>
      <c r="N318" t="s">
        <v>18</v>
      </c>
      <c r="O318">
        <v>4</v>
      </c>
      <c r="P318" s="3">
        <v>0.5</v>
      </c>
      <c r="Q318" t="s">
        <v>12</v>
      </c>
      <c r="R318" t="str">
        <f t="shared" si="26"/>
        <v>5_44__321_08/30/2022_2022__MSM_TR_RZ_Rz_4_0.5_Nutrients</v>
      </c>
    </row>
    <row r="319" spans="1:18" x14ac:dyDescent="0.25">
      <c r="A319">
        <v>5</v>
      </c>
      <c r="B319">
        <v>45</v>
      </c>
      <c r="D319">
        <v>322</v>
      </c>
      <c r="E319" s="1">
        <v>44803</v>
      </c>
      <c r="F319" s="11">
        <f t="shared" si="25"/>
        <v>44803</v>
      </c>
      <c r="G319">
        <f t="shared" si="27"/>
        <v>2022</v>
      </c>
      <c r="H319">
        <f t="shared" si="28"/>
        <v>8</v>
      </c>
      <c r="I319">
        <f t="shared" si="30"/>
        <v>30</v>
      </c>
      <c r="K319" t="s">
        <v>30</v>
      </c>
      <c r="L319" t="s">
        <v>14</v>
      </c>
      <c r="M319" t="s">
        <v>26</v>
      </c>
      <c r="N319" t="s">
        <v>18</v>
      </c>
      <c r="O319">
        <v>5</v>
      </c>
      <c r="P319" s="3">
        <v>0.5</v>
      </c>
      <c r="Q319" t="s">
        <v>12</v>
      </c>
      <c r="R319" t="str">
        <f t="shared" si="26"/>
        <v>5_45__322_08/30/2022_2022__MSM_TR_RZ_Rz_5_0.5_Nutrients</v>
      </c>
    </row>
    <row r="320" spans="1:18" x14ac:dyDescent="0.25">
      <c r="A320">
        <v>5</v>
      </c>
      <c r="B320">
        <v>46</v>
      </c>
      <c r="D320">
        <v>323</v>
      </c>
      <c r="E320" s="1">
        <v>44803</v>
      </c>
      <c r="F320" s="11">
        <f t="shared" si="25"/>
        <v>44803</v>
      </c>
      <c r="G320">
        <f t="shared" si="27"/>
        <v>2022</v>
      </c>
      <c r="H320">
        <f t="shared" si="28"/>
        <v>8</v>
      </c>
      <c r="I320">
        <f t="shared" si="30"/>
        <v>30</v>
      </c>
      <c r="K320" t="s">
        <v>30</v>
      </c>
      <c r="L320" t="s">
        <v>14</v>
      </c>
      <c r="M320" t="s">
        <v>26</v>
      </c>
      <c r="N320" t="s">
        <v>18</v>
      </c>
      <c r="O320">
        <v>6</v>
      </c>
      <c r="P320" s="3">
        <v>0.5</v>
      </c>
      <c r="Q320" t="s">
        <v>12</v>
      </c>
      <c r="R320" t="str">
        <f t="shared" si="26"/>
        <v>5_46__323_08/30/2022_2022__MSM_TR_RZ_Rz_6_0.5_Nutrients</v>
      </c>
    </row>
    <row r="321" spans="1:18" x14ac:dyDescent="0.25">
      <c r="A321">
        <v>5</v>
      </c>
      <c r="B321">
        <v>47</v>
      </c>
      <c r="D321">
        <v>324</v>
      </c>
      <c r="E321" s="1">
        <v>44803</v>
      </c>
      <c r="F321" s="11">
        <f t="shared" si="25"/>
        <v>44803</v>
      </c>
      <c r="G321">
        <f t="shared" si="27"/>
        <v>2022</v>
      </c>
      <c r="H321">
        <f t="shared" si="28"/>
        <v>8</v>
      </c>
      <c r="I321">
        <f t="shared" si="30"/>
        <v>30</v>
      </c>
      <c r="K321" t="s">
        <v>30</v>
      </c>
      <c r="L321" t="s">
        <v>14</v>
      </c>
      <c r="M321" t="s">
        <v>26</v>
      </c>
      <c r="N321" t="s">
        <v>18</v>
      </c>
      <c r="O321">
        <v>7</v>
      </c>
      <c r="P321" s="3">
        <v>0.5</v>
      </c>
      <c r="Q321" t="s">
        <v>12</v>
      </c>
      <c r="R321" t="str">
        <f t="shared" si="26"/>
        <v>5_47__324_08/30/2022_2022__MSM_TR_RZ_Rz_7_0.5_Nutrients</v>
      </c>
    </row>
    <row r="322" spans="1:18" x14ac:dyDescent="0.25">
      <c r="A322">
        <v>5</v>
      </c>
      <c r="B322">
        <v>48</v>
      </c>
      <c r="D322">
        <v>325</v>
      </c>
      <c r="E322" s="1">
        <v>44803</v>
      </c>
      <c r="F322" s="11">
        <f t="shared" si="25"/>
        <v>44803</v>
      </c>
      <c r="G322">
        <f t="shared" ref="G322:G388" si="31">YEAR(E322)</f>
        <v>2022</v>
      </c>
      <c r="H322">
        <f t="shared" ref="H322:H388" si="32">MONTH(E322)</f>
        <v>8</v>
      </c>
      <c r="I322">
        <f t="shared" si="30"/>
        <v>30</v>
      </c>
      <c r="K322" t="s">
        <v>30</v>
      </c>
      <c r="L322" t="s">
        <v>14</v>
      </c>
      <c r="M322" t="s">
        <v>26</v>
      </c>
      <c r="N322" t="s">
        <v>18</v>
      </c>
      <c r="O322">
        <v>8</v>
      </c>
      <c r="P322" s="3">
        <v>0.5</v>
      </c>
      <c r="Q322" t="s">
        <v>12</v>
      </c>
      <c r="R322" t="str">
        <f t="shared" si="26"/>
        <v>5_48__325_08/30/2022_2022__MSM_TR_RZ_Rz_8_0.5_Nutrients</v>
      </c>
    </row>
    <row r="323" spans="1:18" x14ac:dyDescent="0.25">
      <c r="A323">
        <v>5</v>
      </c>
      <c r="B323">
        <v>51</v>
      </c>
      <c r="D323">
        <v>326</v>
      </c>
      <c r="E323" s="1">
        <v>44803</v>
      </c>
      <c r="F323" s="11">
        <f t="shared" ref="F323:F386" si="33">E323</f>
        <v>44803</v>
      </c>
      <c r="G323">
        <f t="shared" si="31"/>
        <v>2022</v>
      </c>
      <c r="H323">
        <f t="shared" si="32"/>
        <v>8</v>
      </c>
      <c r="I323">
        <f t="shared" si="30"/>
        <v>30</v>
      </c>
      <c r="K323" t="s">
        <v>30</v>
      </c>
      <c r="L323" t="s">
        <v>17</v>
      </c>
      <c r="M323" t="s">
        <v>26</v>
      </c>
      <c r="N323" t="s">
        <v>18</v>
      </c>
      <c r="O323">
        <v>1</v>
      </c>
      <c r="P323" s="3">
        <v>0.25</v>
      </c>
      <c r="Q323" t="s">
        <v>12</v>
      </c>
      <c r="R323" t="str">
        <f t="shared" ref="R323:R386" si="34">CONCATENATE(A323,"_",B323,"_", C323,"_",D323,"_",TEXT(E323, "mm/dd/yyyy"),"_",G323,"_",J323,"_",K323,"_",L323,"_",M323,"_",N323,"_",O323,"_",P323,"_",Q323)</f>
        <v>5_51__326_08/30/2022_2022__MSM_UP_RZ_Rz_1_0.25_Nutrients</v>
      </c>
    </row>
    <row r="324" spans="1:18" x14ac:dyDescent="0.25">
      <c r="A324">
        <v>5</v>
      </c>
      <c r="B324">
        <v>52</v>
      </c>
      <c r="D324">
        <v>327</v>
      </c>
      <c r="E324" s="1">
        <v>44803</v>
      </c>
      <c r="F324" s="11">
        <f t="shared" si="33"/>
        <v>44803</v>
      </c>
      <c r="G324">
        <f t="shared" si="31"/>
        <v>2022</v>
      </c>
      <c r="H324">
        <f t="shared" si="32"/>
        <v>8</v>
      </c>
      <c r="I324">
        <f t="shared" si="30"/>
        <v>30</v>
      </c>
      <c r="K324" t="s">
        <v>30</v>
      </c>
      <c r="L324" t="s">
        <v>17</v>
      </c>
      <c r="M324" t="s">
        <v>26</v>
      </c>
      <c r="N324" t="s">
        <v>18</v>
      </c>
      <c r="O324">
        <v>2</v>
      </c>
      <c r="P324" s="3">
        <v>0.25</v>
      </c>
      <c r="Q324" t="s">
        <v>12</v>
      </c>
      <c r="R324" t="str">
        <f t="shared" si="34"/>
        <v>5_52__327_08/30/2022_2022__MSM_UP_RZ_Rz_2_0.25_Nutrients</v>
      </c>
    </row>
    <row r="325" spans="1:18" x14ac:dyDescent="0.25">
      <c r="A325">
        <v>5</v>
      </c>
      <c r="B325">
        <v>53</v>
      </c>
      <c r="D325">
        <v>328</v>
      </c>
      <c r="E325" s="1">
        <v>44803</v>
      </c>
      <c r="F325" s="11">
        <f t="shared" si="33"/>
        <v>44803</v>
      </c>
      <c r="G325">
        <f t="shared" si="31"/>
        <v>2022</v>
      </c>
      <c r="H325">
        <f t="shared" si="32"/>
        <v>8</v>
      </c>
      <c r="I325">
        <f t="shared" si="30"/>
        <v>30</v>
      </c>
      <c r="K325" t="s">
        <v>30</v>
      </c>
      <c r="L325" t="s">
        <v>17</v>
      </c>
      <c r="M325" t="s">
        <v>26</v>
      </c>
      <c r="N325" t="s">
        <v>18</v>
      </c>
      <c r="O325">
        <v>3</v>
      </c>
      <c r="P325" s="3">
        <v>0.25</v>
      </c>
      <c r="Q325" t="s">
        <v>12</v>
      </c>
      <c r="R325" t="str">
        <f t="shared" si="34"/>
        <v>5_53__328_08/30/2022_2022__MSM_UP_RZ_Rz_3_0.25_Nutrients</v>
      </c>
    </row>
    <row r="326" spans="1:18" x14ac:dyDescent="0.25">
      <c r="A326">
        <v>5</v>
      </c>
      <c r="B326">
        <v>54</v>
      </c>
      <c r="D326">
        <v>329</v>
      </c>
      <c r="E326" s="1">
        <v>44803</v>
      </c>
      <c r="F326" s="11">
        <f t="shared" si="33"/>
        <v>44803</v>
      </c>
      <c r="G326">
        <f t="shared" si="31"/>
        <v>2022</v>
      </c>
      <c r="H326">
        <f t="shared" si="32"/>
        <v>8</v>
      </c>
      <c r="I326">
        <f t="shared" si="30"/>
        <v>30</v>
      </c>
      <c r="K326" t="s">
        <v>30</v>
      </c>
      <c r="L326" t="s">
        <v>17</v>
      </c>
      <c r="M326" t="s">
        <v>26</v>
      </c>
      <c r="N326" t="s">
        <v>18</v>
      </c>
      <c r="O326">
        <v>4</v>
      </c>
      <c r="P326" s="3">
        <v>0.25</v>
      </c>
      <c r="Q326" t="s">
        <v>12</v>
      </c>
      <c r="R326" t="str">
        <f t="shared" si="34"/>
        <v>5_54__329_08/30/2022_2022__MSM_UP_RZ_Rz_4_0.25_Nutrients</v>
      </c>
    </row>
    <row r="327" spans="1:18" x14ac:dyDescent="0.25">
      <c r="A327">
        <v>5</v>
      </c>
      <c r="B327">
        <v>55</v>
      </c>
      <c r="D327">
        <v>330</v>
      </c>
      <c r="E327" s="1">
        <v>44803</v>
      </c>
      <c r="F327" s="11">
        <f t="shared" si="33"/>
        <v>44803</v>
      </c>
      <c r="G327">
        <f t="shared" si="31"/>
        <v>2022</v>
      </c>
      <c r="H327">
        <f t="shared" si="32"/>
        <v>8</v>
      </c>
      <c r="I327">
        <f t="shared" si="30"/>
        <v>30</v>
      </c>
      <c r="K327" t="s">
        <v>30</v>
      </c>
      <c r="L327" t="s">
        <v>17</v>
      </c>
      <c r="M327" t="s">
        <v>26</v>
      </c>
      <c r="N327" t="s">
        <v>18</v>
      </c>
      <c r="O327">
        <v>5</v>
      </c>
      <c r="P327" s="3">
        <v>0.25</v>
      </c>
      <c r="Q327" t="s">
        <v>12</v>
      </c>
      <c r="R327" t="str">
        <f t="shared" si="34"/>
        <v>5_55__330_08/30/2022_2022__MSM_UP_RZ_Rz_5_0.25_Nutrients</v>
      </c>
    </row>
    <row r="328" spans="1:18" x14ac:dyDescent="0.25">
      <c r="A328">
        <v>5</v>
      </c>
      <c r="B328">
        <v>57</v>
      </c>
      <c r="D328">
        <v>331</v>
      </c>
      <c r="E328" s="1">
        <v>44803</v>
      </c>
      <c r="F328" s="11">
        <f t="shared" si="33"/>
        <v>44803</v>
      </c>
      <c r="G328">
        <f t="shared" si="31"/>
        <v>2022</v>
      </c>
      <c r="H328">
        <f t="shared" si="32"/>
        <v>8</v>
      </c>
      <c r="I328">
        <f t="shared" si="30"/>
        <v>30</v>
      </c>
      <c r="K328" t="s">
        <v>30</v>
      </c>
      <c r="L328" t="s">
        <v>17</v>
      </c>
      <c r="M328" t="s">
        <v>26</v>
      </c>
      <c r="N328" t="s">
        <v>18</v>
      </c>
      <c r="O328">
        <v>7</v>
      </c>
      <c r="P328" s="3">
        <v>0.25</v>
      </c>
      <c r="Q328" t="s">
        <v>12</v>
      </c>
      <c r="R328" t="str">
        <f t="shared" si="34"/>
        <v>5_57__331_08/30/2022_2022__MSM_UP_RZ_Rz_7_0.25_Nutrients</v>
      </c>
    </row>
    <row r="329" spans="1:18" x14ac:dyDescent="0.25">
      <c r="A329">
        <v>5</v>
      </c>
      <c r="B329">
        <v>58</v>
      </c>
      <c r="D329">
        <v>332</v>
      </c>
      <c r="E329" s="1">
        <v>44803</v>
      </c>
      <c r="F329" s="11">
        <f t="shared" si="33"/>
        <v>44803</v>
      </c>
      <c r="G329">
        <f t="shared" si="31"/>
        <v>2022</v>
      </c>
      <c r="H329">
        <f t="shared" si="32"/>
        <v>8</v>
      </c>
      <c r="I329">
        <f t="shared" si="30"/>
        <v>30</v>
      </c>
      <c r="K329" t="s">
        <v>30</v>
      </c>
      <c r="L329" t="s">
        <v>17</v>
      </c>
      <c r="M329" t="s">
        <v>26</v>
      </c>
      <c r="N329" t="s">
        <v>18</v>
      </c>
      <c r="O329">
        <v>8</v>
      </c>
      <c r="P329" s="3">
        <v>0.25</v>
      </c>
      <c r="Q329" t="s">
        <v>12</v>
      </c>
      <c r="R329" t="str">
        <f t="shared" si="34"/>
        <v>5_58__332_08/30/2022_2022__MSM_UP_RZ_Rz_8_0.25_Nutrients</v>
      </c>
    </row>
    <row r="330" spans="1:18" x14ac:dyDescent="0.25">
      <c r="A330">
        <v>5</v>
      </c>
      <c r="B330">
        <v>61</v>
      </c>
      <c r="D330">
        <v>333</v>
      </c>
      <c r="E330" s="1">
        <v>44803</v>
      </c>
      <c r="F330" s="11">
        <f t="shared" si="33"/>
        <v>44803</v>
      </c>
      <c r="G330">
        <f t="shared" si="31"/>
        <v>2022</v>
      </c>
      <c r="H330">
        <f t="shared" si="32"/>
        <v>8</v>
      </c>
      <c r="I330">
        <f t="shared" si="30"/>
        <v>30</v>
      </c>
      <c r="K330" t="s">
        <v>30</v>
      </c>
      <c r="L330" t="s">
        <v>17</v>
      </c>
      <c r="M330" t="s">
        <v>26</v>
      </c>
      <c r="N330" t="s">
        <v>18</v>
      </c>
      <c r="O330">
        <v>1</v>
      </c>
      <c r="P330" s="3">
        <v>0.5</v>
      </c>
      <c r="Q330" t="s">
        <v>12</v>
      </c>
      <c r="R330" t="str">
        <f t="shared" si="34"/>
        <v>5_61__333_08/30/2022_2022__MSM_UP_RZ_Rz_1_0.5_Nutrients</v>
      </c>
    </row>
    <row r="331" spans="1:18" x14ac:dyDescent="0.25">
      <c r="A331">
        <v>5</v>
      </c>
      <c r="B331">
        <v>62</v>
      </c>
      <c r="D331">
        <v>334</v>
      </c>
      <c r="E331" s="1">
        <v>44803</v>
      </c>
      <c r="F331" s="11">
        <f t="shared" si="33"/>
        <v>44803</v>
      </c>
      <c r="G331">
        <f t="shared" si="31"/>
        <v>2022</v>
      </c>
      <c r="H331">
        <f t="shared" si="32"/>
        <v>8</v>
      </c>
      <c r="I331">
        <f t="shared" si="30"/>
        <v>30</v>
      </c>
      <c r="K331" t="s">
        <v>30</v>
      </c>
      <c r="L331" t="s">
        <v>17</v>
      </c>
      <c r="M331" t="s">
        <v>26</v>
      </c>
      <c r="N331" t="s">
        <v>18</v>
      </c>
      <c r="O331">
        <v>2</v>
      </c>
      <c r="P331" s="3">
        <v>0.5</v>
      </c>
      <c r="Q331" t="s">
        <v>12</v>
      </c>
      <c r="R331" t="str">
        <f t="shared" si="34"/>
        <v>5_62__334_08/30/2022_2022__MSM_UP_RZ_Rz_2_0.5_Nutrients</v>
      </c>
    </row>
    <row r="332" spans="1:18" x14ac:dyDescent="0.25">
      <c r="A332">
        <v>5</v>
      </c>
      <c r="B332">
        <v>63</v>
      </c>
      <c r="D332">
        <v>335</v>
      </c>
      <c r="E332" s="1">
        <v>44803</v>
      </c>
      <c r="F332" s="11">
        <f t="shared" si="33"/>
        <v>44803</v>
      </c>
      <c r="G332">
        <f t="shared" si="31"/>
        <v>2022</v>
      </c>
      <c r="H332">
        <f t="shared" si="32"/>
        <v>8</v>
      </c>
      <c r="I332">
        <f t="shared" si="30"/>
        <v>30</v>
      </c>
      <c r="K332" t="s">
        <v>30</v>
      </c>
      <c r="L332" t="s">
        <v>17</v>
      </c>
      <c r="M332" t="s">
        <v>26</v>
      </c>
      <c r="N332" t="s">
        <v>18</v>
      </c>
      <c r="O332">
        <v>3</v>
      </c>
      <c r="P332" s="3">
        <v>0.5</v>
      </c>
      <c r="Q332" t="s">
        <v>12</v>
      </c>
      <c r="R332" t="str">
        <f t="shared" si="34"/>
        <v>5_63__335_08/30/2022_2022__MSM_UP_RZ_Rz_3_0.5_Nutrients</v>
      </c>
    </row>
    <row r="333" spans="1:18" x14ac:dyDescent="0.25">
      <c r="A333">
        <v>5</v>
      </c>
      <c r="B333">
        <v>64</v>
      </c>
      <c r="D333">
        <v>336</v>
      </c>
      <c r="E333" s="1">
        <v>44803</v>
      </c>
      <c r="F333" s="11">
        <f t="shared" si="33"/>
        <v>44803</v>
      </c>
      <c r="G333">
        <f t="shared" si="31"/>
        <v>2022</v>
      </c>
      <c r="H333">
        <f t="shared" si="32"/>
        <v>8</v>
      </c>
      <c r="I333">
        <f t="shared" si="30"/>
        <v>30</v>
      </c>
      <c r="K333" t="s">
        <v>30</v>
      </c>
      <c r="L333" t="s">
        <v>17</v>
      </c>
      <c r="M333" t="s">
        <v>26</v>
      </c>
      <c r="N333" t="s">
        <v>18</v>
      </c>
      <c r="O333">
        <v>4</v>
      </c>
      <c r="P333" s="3">
        <v>0.5</v>
      </c>
      <c r="Q333" t="s">
        <v>12</v>
      </c>
      <c r="R333" t="str">
        <f t="shared" si="34"/>
        <v>5_64__336_08/30/2022_2022__MSM_UP_RZ_Rz_4_0.5_Nutrients</v>
      </c>
    </row>
    <row r="334" spans="1:18" x14ac:dyDescent="0.25">
      <c r="A334">
        <v>5</v>
      </c>
      <c r="B334">
        <v>65</v>
      </c>
      <c r="D334">
        <v>337</v>
      </c>
      <c r="E334" s="1">
        <v>44803</v>
      </c>
      <c r="F334" s="11">
        <f t="shared" si="33"/>
        <v>44803</v>
      </c>
      <c r="G334">
        <f t="shared" si="31"/>
        <v>2022</v>
      </c>
      <c r="H334">
        <f t="shared" si="32"/>
        <v>8</v>
      </c>
      <c r="I334">
        <f t="shared" si="30"/>
        <v>30</v>
      </c>
      <c r="K334" t="s">
        <v>30</v>
      </c>
      <c r="L334" t="s">
        <v>17</v>
      </c>
      <c r="M334" t="s">
        <v>26</v>
      </c>
      <c r="N334" t="s">
        <v>18</v>
      </c>
      <c r="O334">
        <v>5</v>
      </c>
      <c r="P334" s="3">
        <v>0.5</v>
      </c>
      <c r="Q334" t="s">
        <v>12</v>
      </c>
      <c r="R334" t="str">
        <f t="shared" si="34"/>
        <v>5_65__337_08/30/2022_2022__MSM_UP_RZ_Rz_5_0.5_Nutrients</v>
      </c>
    </row>
    <row r="335" spans="1:18" x14ac:dyDescent="0.25">
      <c r="A335">
        <v>5</v>
      </c>
      <c r="B335">
        <v>66</v>
      </c>
      <c r="D335">
        <v>338</v>
      </c>
      <c r="E335" s="1">
        <v>44803</v>
      </c>
      <c r="F335" s="11">
        <f t="shared" si="33"/>
        <v>44803</v>
      </c>
      <c r="G335">
        <f t="shared" si="31"/>
        <v>2022</v>
      </c>
      <c r="H335">
        <f t="shared" si="32"/>
        <v>8</v>
      </c>
      <c r="I335">
        <f t="shared" si="30"/>
        <v>30</v>
      </c>
      <c r="K335" t="s">
        <v>30</v>
      </c>
      <c r="L335" t="s">
        <v>17</v>
      </c>
      <c r="M335" t="s">
        <v>26</v>
      </c>
      <c r="N335" t="s">
        <v>18</v>
      </c>
      <c r="O335">
        <v>6</v>
      </c>
      <c r="P335" s="3">
        <v>0.5</v>
      </c>
      <c r="Q335" t="s">
        <v>12</v>
      </c>
      <c r="R335" t="str">
        <f t="shared" si="34"/>
        <v>5_66__338_08/30/2022_2022__MSM_UP_RZ_Rz_6_0.5_Nutrients</v>
      </c>
    </row>
    <row r="336" spans="1:18" x14ac:dyDescent="0.25">
      <c r="A336">
        <v>5</v>
      </c>
      <c r="B336">
        <v>67</v>
      </c>
      <c r="D336">
        <v>339</v>
      </c>
      <c r="E336" s="1">
        <v>44803</v>
      </c>
      <c r="F336" s="11">
        <f t="shared" si="33"/>
        <v>44803</v>
      </c>
      <c r="G336">
        <f t="shared" si="31"/>
        <v>2022</v>
      </c>
      <c r="H336">
        <f t="shared" si="32"/>
        <v>8</v>
      </c>
      <c r="I336">
        <f t="shared" si="30"/>
        <v>30</v>
      </c>
      <c r="K336" t="s">
        <v>30</v>
      </c>
      <c r="L336" t="s">
        <v>17</v>
      </c>
      <c r="M336" t="s">
        <v>26</v>
      </c>
      <c r="N336" t="s">
        <v>18</v>
      </c>
      <c r="O336">
        <v>7</v>
      </c>
      <c r="P336" s="3">
        <v>0.5</v>
      </c>
      <c r="Q336" t="s">
        <v>12</v>
      </c>
      <c r="R336" t="str">
        <f t="shared" si="34"/>
        <v>5_67__339_08/30/2022_2022__MSM_UP_RZ_Rz_7_0.5_Nutrients</v>
      </c>
    </row>
    <row r="337" spans="1:18" x14ac:dyDescent="0.25">
      <c r="A337">
        <v>5</v>
      </c>
      <c r="B337">
        <v>68</v>
      </c>
      <c r="D337">
        <v>340</v>
      </c>
      <c r="E337" s="1">
        <v>44803</v>
      </c>
      <c r="F337" s="11">
        <f t="shared" si="33"/>
        <v>44803</v>
      </c>
      <c r="G337">
        <f t="shared" si="31"/>
        <v>2022</v>
      </c>
      <c r="H337">
        <f t="shared" si="32"/>
        <v>8</v>
      </c>
      <c r="I337">
        <f t="shared" si="30"/>
        <v>30</v>
      </c>
      <c r="K337" t="s">
        <v>30</v>
      </c>
      <c r="L337" t="s">
        <v>17</v>
      </c>
      <c r="M337" t="s">
        <v>26</v>
      </c>
      <c r="N337" t="s">
        <v>18</v>
      </c>
      <c r="O337">
        <v>8</v>
      </c>
      <c r="P337" s="3">
        <v>0.5</v>
      </c>
      <c r="Q337" t="s">
        <v>12</v>
      </c>
      <c r="R337" t="str">
        <f t="shared" si="34"/>
        <v>5_68__340_08/30/2022_2022__MSM_UP_RZ_Rz_8_0.5_Nutrients</v>
      </c>
    </row>
    <row r="338" spans="1:18" x14ac:dyDescent="0.25">
      <c r="A338">
        <v>5</v>
      </c>
      <c r="B338">
        <v>71</v>
      </c>
      <c r="D338">
        <v>341</v>
      </c>
      <c r="E338" s="1">
        <v>44803</v>
      </c>
      <c r="F338" s="11">
        <f t="shared" si="33"/>
        <v>44803</v>
      </c>
      <c r="G338">
        <f t="shared" si="31"/>
        <v>2022</v>
      </c>
      <c r="H338">
        <f t="shared" si="32"/>
        <v>8</v>
      </c>
      <c r="I338">
        <f t="shared" si="30"/>
        <v>30</v>
      </c>
      <c r="K338" t="s">
        <v>30</v>
      </c>
      <c r="L338" t="s">
        <v>17</v>
      </c>
      <c r="M338" t="s">
        <v>26</v>
      </c>
      <c r="N338" t="s">
        <v>18</v>
      </c>
      <c r="O338">
        <v>1</v>
      </c>
      <c r="P338" s="3">
        <v>0.625</v>
      </c>
      <c r="Q338" t="s">
        <v>12</v>
      </c>
      <c r="R338" t="str">
        <f t="shared" si="34"/>
        <v>5_71__341_08/30/2022_2022__MSM_UP_RZ_Rz_1_0.625_Nutrients</v>
      </c>
    </row>
    <row r="339" spans="1:18" x14ac:dyDescent="0.25">
      <c r="A339">
        <v>5</v>
      </c>
      <c r="B339">
        <v>72</v>
      </c>
      <c r="D339">
        <v>342</v>
      </c>
      <c r="E339" s="1">
        <v>44803</v>
      </c>
      <c r="F339" s="11">
        <f t="shared" si="33"/>
        <v>44803</v>
      </c>
      <c r="G339">
        <f t="shared" si="31"/>
        <v>2022</v>
      </c>
      <c r="H339">
        <f t="shared" si="32"/>
        <v>8</v>
      </c>
      <c r="I339">
        <f t="shared" si="30"/>
        <v>30</v>
      </c>
      <c r="K339" t="s">
        <v>30</v>
      </c>
      <c r="L339" t="s">
        <v>17</v>
      </c>
      <c r="M339" t="s">
        <v>26</v>
      </c>
      <c r="N339" t="s">
        <v>18</v>
      </c>
      <c r="O339">
        <v>2</v>
      </c>
      <c r="P339" s="3">
        <v>0.625</v>
      </c>
      <c r="Q339" t="s">
        <v>12</v>
      </c>
      <c r="R339" t="str">
        <f t="shared" si="34"/>
        <v>5_72__342_08/30/2022_2022__MSM_UP_RZ_Rz_2_0.625_Nutrients</v>
      </c>
    </row>
    <row r="340" spans="1:18" x14ac:dyDescent="0.25">
      <c r="A340">
        <v>5</v>
      </c>
      <c r="B340">
        <v>73</v>
      </c>
      <c r="D340">
        <v>343</v>
      </c>
      <c r="E340" s="1">
        <v>44803</v>
      </c>
      <c r="F340" s="11">
        <f t="shared" si="33"/>
        <v>44803</v>
      </c>
      <c r="G340">
        <f t="shared" si="31"/>
        <v>2022</v>
      </c>
      <c r="H340">
        <f t="shared" si="32"/>
        <v>8</v>
      </c>
      <c r="I340">
        <f t="shared" si="30"/>
        <v>30</v>
      </c>
      <c r="K340" t="s">
        <v>30</v>
      </c>
      <c r="L340" t="s">
        <v>17</v>
      </c>
      <c r="M340" t="s">
        <v>26</v>
      </c>
      <c r="N340" t="s">
        <v>18</v>
      </c>
      <c r="O340">
        <v>3</v>
      </c>
      <c r="P340" s="3">
        <v>0.625</v>
      </c>
      <c r="Q340" t="s">
        <v>12</v>
      </c>
      <c r="R340" t="str">
        <f t="shared" si="34"/>
        <v>5_73__343_08/30/2022_2022__MSM_UP_RZ_Rz_3_0.625_Nutrients</v>
      </c>
    </row>
    <row r="341" spans="1:18" x14ac:dyDescent="0.25">
      <c r="A341">
        <v>5</v>
      </c>
      <c r="B341">
        <v>74</v>
      </c>
      <c r="D341">
        <v>344</v>
      </c>
      <c r="E341" s="1">
        <v>44803</v>
      </c>
      <c r="F341" s="11">
        <f t="shared" si="33"/>
        <v>44803</v>
      </c>
      <c r="G341">
        <f t="shared" si="31"/>
        <v>2022</v>
      </c>
      <c r="H341">
        <f t="shared" si="32"/>
        <v>8</v>
      </c>
      <c r="I341">
        <f t="shared" si="30"/>
        <v>30</v>
      </c>
      <c r="K341" t="s">
        <v>30</v>
      </c>
      <c r="L341" t="s">
        <v>17</v>
      </c>
      <c r="M341" t="s">
        <v>26</v>
      </c>
      <c r="N341" t="s">
        <v>18</v>
      </c>
      <c r="O341">
        <v>4</v>
      </c>
      <c r="P341" s="3">
        <v>0.625</v>
      </c>
      <c r="Q341" t="s">
        <v>12</v>
      </c>
      <c r="R341" t="str">
        <f t="shared" si="34"/>
        <v>5_74__344_08/30/2022_2022__MSM_UP_RZ_Rz_4_0.625_Nutrients</v>
      </c>
    </row>
    <row r="342" spans="1:18" x14ac:dyDescent="0.25">
      <c r="A342">
        <v>5</v>
      </c>
      <c r="B342">
        <v>75</v>
      </c>
      <c r="D342">
        <v>345</v>
      </c>
      <c r="E342" s="1">
        <v>44803</v>
      </c>
      <c r="F342" s="11">
        <f t="shared" si="33"/>
        <v>44803</v>
      </c>
      <c r="G342">
        <f t="shared" si="31"/>
        <v>2022</v>
      </c>
      <c r="H342">
        <f t="shared" si="32"/>
        <v>8</v>
      </c>
      <c r="I342">
        <f t="shared" si="30"/>
        <v>30</v>
      </c>
      <c r="K342" t="s">
        <v>30</v>
      </c>
      <c r="L342" t="s">
        <v>17</v>
      </c>
      <c r="M342" t="s">
        <v>26</v>
      </c>
      <c r="N342" t="s">
        <v>18</v>
      </c>
      <c r="O342">
        <v>5</v>
      </c>
      <c r="P342" s="3">
        <v>0.625</v>
      </c>
      <c r="Q342" t="s">
        <v>12</v>
      </c>
      <c r="R342" t="str">
        <f t="shared" si="34"/>
        <v>5_75__345_08/30/2022_2022__MSM_UP_RZ_Rz_5_0.625_Nutrients</v>
      </c>
    </row>
    <row r="343" spans="1:18" x14ac:dyDescent="0.25">
      <c r="A343">
        <v>5</v>
      </c>
      <c r="B343">
        <v>76</v>
      </c>
      <c r="D343">
        <v>346</v>
      </c>
      <c r="E343" s="1">
        <v>44803</v>
      </c>
      <c r="F343" s="11">
        <f t="shared" si="33"/>
        <v>44803</v>
      </c>
      <c r="G343">
        <f t="shared" si="31"/>
        <v>2022</v>
      </c>
      <c r="H343">
        <f t="shared" si="32"/>
        <v>8</v>
      </c>
      <c r="I343">
        <f t="shared" si="30"/>
        <v>30</v>
      </c>
      <c r="K343" t="s">
        <v>30</v>
      </c>
      <c r="L343" t="s">
        <v>17</v>
      </c>
      <c r="M343" t="s">
        <v>26</v>
      </c>
      <c r="N343" t="s">
        <v>18</v>
      </c>
      <c r="O343">
        <v>6</v>
      </c>
      <c r="P343" s="3">
        <v>0.625</v>
      </c>
      <c r="Q343" t="s">
        <v>12</v>
      </c>
      <c r="R343" t="str">
        <f t="shared" si="34"/>
        <v>5_76__346_08/30/2022_2022__MSM_UP_RZ_Rz_6_0.625_Nutrients</v>
      </c>
    </row>
    <row r="344" spans="1:18" x14ac:dyDescent="0.25">
      <c r="A344">
        <v>5</v>
      </c>
      <c r="B344">
        <v>77</v>
      </c>
      <c r="D344">
        <v>347</v>
      </c>
      <c r="E344" s="1">
        <v>44803</v>
      </c>
      <c r="F344" s="11">
        <f t="shared" si="33"/>
        <v>44803</v>
      </c>
      <c r="G344">
        <f t="shared" si="31"/>
        <v>2022</v>
      </c>
      <c r="H344">
        <f t="shared" si="32"/>
        <v>8</v>
      </c>
      <c r="I344">
        <f t="shared" si="30"/>
        <v>30</v>
      </c>
      <c r="K344" t="s">
        <v>30</v>
      </c>
      <c r="L344" t="s">
        <v>17</v>
      </c>
      <c r="M344" t="s">
        <v>26</v>
      </c>
      <c r="N344" t="s">
        <v>18</v>
      </c>
      <c r="O344">
        <v>7</v>
      </c>
      <c r="P344" s="3">
        <v>0.625</v>
      </c>
      <c r="Q344" t="s">
        <v>12</v>
      </c>
      <c r="R344" t="str">
        <f t="shared" si="34"/>
        <v>5_77__347_08/30/2022_2022__MSM_UP_RZ_Rz_7_0.625_Nutrients</v>
      </c>
    </row>
    <row r="345" spans="1:18" x14ac:dyDescent="0.25">
      <c r="A345">
        <v>5</v>
      </c>
      <c r="B345">
        <v>78</v>
      </c>
      <c r="D345">
        <v>348</v>
      </c>
      <c r="E345" s="1">
        <v>44803</v>
      </c>
      <c r="F345" s="11">
        <f t="shared" si="33"/>
        <v>44803</v>
      </c>
      <c r="G345">
        <f t="shared" si="31"/>
        <v>2022</v>
      </c>
      <c r="H345">
        <f t="shared" si="32"/>
        <v>8</v>
      </c>
      <c r="I345">
        <f t="shared" si="30"/>
        <v>30</v>
      </c>
      <c r="K345" t="s">
        <v>30</v>
      </c>
      <c r="L345" t="s">
        <v>17</v>
      </c>
      <c r="M345" t="s">
        <v>26</v>
      </c>
      <c r="N345" t="s">
        <v>18</v>
      </c>
      <c r="O345">
        <v>8</v>
      </c>
      <c r="P345" s="3">
        <v>0.625</v>
      </c>
      <c r="Q345" t="s">
        <v>12</v>
      </c>
      <c r="R345" t="str">
        <f t="shared" si="34"/>
        <v>5_78__348_08/30/2022_2022__MSM_UP_RZ_Rz_8_0.625_Nutrients</v>
      </c>
    </row>
    <row r="346" spans="1:18" x14ac:dyDescent="0.25">
      <c r="A346">
        <v>6</v>
      </c>
      <c r="B346">
        <v>1</v>
      </c>
      <c r="C346">
        <v>1</v>
      </c>
      <c r="D346">
        <v>349</v>
      </c>
      <c r="E346" s="1">
        <v>44938</v>
      </c>
      <c r="F346" s="11">
        <f t="shared" si="33"/>
        <v>44938</v>
      </c>
      <c r="G346">
        <f t="shared" si="31"/>
        <v>2023</v>
      </c>
      <c r="H346">
        <f t="shared" si="32"/>
        <v>1</v>
      </c>
      <c r="I346">
        <f t="shared" si="30"/>
        <v>12</v>
      </c>
      <c r="J346" t="s">
        <v>10</v>
      </c>
      <c r="K346" t="s">
        <v>13</v>
      </c>
      <c r="L346" t="s">
        <v>17</v>
      </c>
      <c r="M346" t="s">
        <v>11</v>
      </c>
      <c r="N346" t="s">
        <v>15</v>
      </c>
      <c r="O346" t="s">
        <v>23</v>
      </c>
      <c r="P346">
        <v>10</v>
      </c>
      <c r="Q346" t="s">
        <v>12</v>
      </c>
      <c r="R346" t="str">
        <f t="shared" si="34"/>
        <v>6_1_1_349_01/12/2023_2023_MonMon_PTR_UP_PW_Lys_A_10_Nutrients</v>
      </c>
    </row>
    <row r="347" spans="1:18" x14ac:dyDescent="0.25">
      <c r="A347">
        <v>6</v>
      </c>
      <c r="B347">
        <v>2</v>
      </c>
      <c r="C347">
        <v>2</v>
      </c>
      <c r="D347">
        <v>350</v>
      </c>
      <c r="E347" s="1">
        <v>44938</v>
      </c>
      <c r="F347" s="11">
        <f t="shared" si="33"/>
        <v>44938</v>
      </c>
      <c r="G347">
        <f t="shared" si="31"/>
        <v>2023</v>
      </c>
      <c r="H347">
        <f t="shared" si="32"/>
        <v>1</v>
      </c>
      <c r="I347">
        <f t="shared" si="30"/>
        <v>12</v>
      </c>
      <c r="J347" t="s">
        <v>10</v>
      </c>
      <c r="K347" t="s">
        <v>13</v>
      </c>
      <c r="L347" t="s">
        <v>17</v>
      </c>
      <c r="M347" t="s">
        <v>11</v>
      </c>
      <c r="N347" t="s">
        <v>15</v>
      </c>
      <c r="O347" t="s">
        <v>23</v>
      </c>
      <c r="P347">
        <v>20</v>
      </c>
      <c r="Q347" t="s">
        <v>12</v>
      </c>
      <c r="R347" t="str">
        <f t="shared" si="34"/>
        <v>6_2_2_350_01/12/2023_2023_MonMon_PTR_UP_PW_Lys_A_20_Nutrients</v>
      </c>
    </row>
    <row r="348" spans="1:18" x14ac:dyDescent="0.25">
      <c r="A348">
        <v>6</v>
      </c>
      <c r="B348">
        <v>3</v>
      </c>
      <c r="C348">
        <v>3</v>
      </c>
      <c r="D348">
        <v>351</v>
      </c>
      <c r="E348" s="1">
        <v>44938</v>
      </c>
      <c r="F348" s="11">
        <f t="shared" si="33"/>
        <v>44938</v>
      </c>
      <c r="G348">
        <f t="shared" si="31"/>
        <v>2023</v>
      </c>
      <c r="H348">
        <f t="shared" si="32"/>
        <v>1</v>
      </c>
      <c r="I348">
        <f t="shared" si="30"/>
        <v>12</v>
      </c>
      <c r="J348" t="s">
        <v>10</v>
      </c>
      <c r="K348" t="s">
        <v>13</v>
      </c>
      <c r="L348" t="s">
        <v>17</v>
      </c>
      <c r="M348" t="s">
        <v>11</v>
      </c>
      <c r="N348" t="s">
        <v>15</v>
      </c>
      <c r="O348" t="s">
        <v>24</v>
      </c>
      <c r="P348">
        <v>10</v>
      </c>
      <c r="Q348" t="s">
        <v>12</v>
      </c>
      <c r="R348" t="str">
        <f t="shared" si="34"/>
        <v>6_3_3_351_01/12/2023_2023_MonMon_PTR_UP_PW_Lys_B_10_Nutrients</v>
      </c>
    </row>
    <row r="349" spans="1:18" x14ac:dyDescent="0.25">
      <c r="A349">
        <v>6</v>
      </c>
      <c r="B349">
        <v>4</v>
      </c>
      <c r="C349">
        <v>4</v>
      </c>
      <c r="D349">
        <v>352</v>
      </c>
      <c r="E349" s="1">
        <v>44938</v>
      </c>
      <c r="F349" s="11">
        <f t="shared" si="33"/>
        <v>44938</v>
      </c>
      <c r="G349">
        <f t="shared" si="31"/>
        <v>2023</v>
      </c>
      <c r="H349">
        <f t="shared" si="32"/>
        <v>1</v>
      </c>
      <c r="I349">
        <f t="shared" si="30"/>
        <v>12</v>
      </c>
      <c r="J349" t="s">
        <v>10</v>
      </c>
      <c r="K349" t="s">
        <v>13</v>
      </c>
      <c r="L349" t="s">
        <v>17</v>
      </c>
      <c r="M349" t="s">
        <v>11</v>
      </c>
      <c r="N349" t="s">
        <v>15</v>
      </c>
      <c r="O349" t="s">
        <v>24</v>
      </c>
      <c r="P349">
        <v>20</v>
      </c>
      <c r="Q349" t="s">
        <v>12</v>
      </c>
      <c r="R349" t="str">
        <f t="shared" si="34"/>
        <v>6_4_4_352_01/12/2023_2023_MonMon_PTR_UP_PW_Lys_B_20_Nutrients</v>
      </c>
    </row>
    <row r="350" spans="1:18" x14ac:dyDescent="0.25">
      <c r="A350">
        <v>6</v>
      </c>
      <c r="B350">
        <v>5</v>
      </c>
      <c r="C350">
        <v>5</v>
      </c>
      <c r="D350">
        <v>353</v>
      </c>
      <c r="E350" s="1">
        <v>44938</v>
      </c>
      <c r="F350" s="11">
        <f t="shared" si="33"/>
        <v>44938</v>
      </c>
      <c r="G350">
        <f t="shared" si="31"/>
        <v>2023</v>
      </c>
      <c r="H350">
        <f t="shared" si="32"/>
        <v>1</v>
      </c>
      <c r="I350">
        <f t="shared" si="30"/>
        <v>12</v>
      </c>
      <c r="J350" t="s">
        <v>10</v>
      </c>
      <c r="K350" t="s">
        <v>13</v>
      </c>
      <c r="L350" t="s">
        <v>17</v>
      </c>
      <c r="M350" t="s">
        <v>11</v>
      </c>
      <c r="N350" t="s">
        <v>15</v>
      </c>
      <c r="O350" t="s">
        <v>25</v>
      </c>
      <c r="P350">
        <v>10</v>
      </c>
      <c r="Q350" t="s">
        <v>12</v>
      </c>
      <c r="R350" t="str">
        <f t="shared" si="34"/>
        <v>6_5_5_353_01/12/2023_2023_MonMon_PTR_UP_PW_Lys_C_10_Nutrients</v>
      </c>
    </row>
    <row r="351" spans="1:18" x14ac:dyDescent="0.25">
      <c r="A351">
        <v>6</v>
      </c>
      <c r="B351">
        <v>6</v>
      </c>
      <c r="C351">
        <v>6</v>
      </c>
      <c r="D351">
        <v>354</v>
      </c>
      <c r="E351" s="1">
        <v>44938</v>
      </c>
      <c r="F351" s="11">
        <f t="shared" si="33"/>
        <v>44938</v>
      </c>
      <c r="G351">
        <f t="shared" si="31"/>
        <v>2023</v>
      </c>
      <c r="H351">
        <f t="shared" si="32"/>
        <v>1</v>
      </c>
      <c r="I351">
        <f t="shared" si="30"/>
        <v>12</v>
      </c>
      <c r="J351" t="s">
        <v>10</v>
      </c>
      <c r="K351" t="s">
        <v>13</v>
      </c>
      <c r="L351" t="s">
        <v>17</v>
      </c>
      <c r="M351" t="s">
        <v>11</v>
      </c>
      <c r="N351" t="s">
        <v>15</v>
      </c>
      <c r="O351" t="s">
        <v>25</v>
      </c>
      <c r="P351">
        <v>20</v>
      </c>
      <c r="Q351" t="s">
        <v>12</v>
      </c>
      <c r="R351" t="str">
        <f t="shared" si="34"/>
        <v>6_6_6_354_01/12/2023_2023_MonMon_PTR_UP_PW_Lys_C_20_Nutrients</v>
      </c>
    </row>
    <row r="352" spans="1:18" x14ac:dyDescent="0.25">
      <c r="A352">
        <v>6</v>
      </c>
      <c r="B352">
        <v>11</v>
      </c>
      <c r="C352">
        <v>7</v>
      </c>
      <c r="D352">
        <v>355</v>
      </c>
      <c r="E352" s="1">
        <v>44938</v>
      </c>
      <c r="F352" s="11">
        <f t="shared" si="33"/>
        <v>44938</v>
      </c>
      <c r="G352">
        <f t="shared" si="31"/>
        <v>2023</v>
      </c>
      <c r="H352">
        <f t="shared" si="32"/>
        <v>1</v>
      </c>
      <c r="I352">
        <f t="shared" si="30"/>
        <v>12</v>
      </c>
      <c r="J352" t="s">
        <v>10</v>
      </c>
      <c r="K352" t="s">
        <v>13</v>
      </c>
      <c r="L352" t="s">
        <v>14</v>
      </c>
      <c r="M352" t="s">
        <v>11</v>
      </c>
      <c r="N352" t="s">
        <v>15</v>
      </c>
      <c r="O352" t="s">
        <v>23</v>
      </c>
      <c r="P352">
        <v>10</v>
      </c>
      <c r="Q352" t="s">
        <v>12</v>
      </c>
      <c r="R352" t="str">
        <f t="shared" si="34"/>
        <v>6_11_7_355_01/12/2023_2023_MonMon_PTR_TR_PW_Lys_A_10_Nutrients</v>
      </c>
    </row>
    <row r="353" spans="1:18" x14ac:dyDescent="0.25">
      <c r="A353">
        <v>6</v>
      </c>
      <c r="B353">
        <v>12</v>
      </c>
      <c r="C353">
        <v>8</v>
      </c>
      <c r="D353">
        <v>356</v>
      </c>
      <c r="E353" s="1">
        <v>44938</v>
      </c>
      <c r="F353" s="11">
        <f t="shared" si="33"/>
        <v>44938</v>
      </c>
      <c r="G353">
        <f t="shared" si="31"/>
        <v>2023</v>
      </c>
      <c r="H353">
        <f t="shared" si="32"/>
        <v>1</v>
      </c>
      <c r="I353">
        <f t="shared" si="30"/>
        <v>12</v>
      </c>
      <c r="J353" t="s">
        <v>10</v>
      </c>
      <c r="K353" t="s">
        <v>13</v>
      </c>
      <c r="L353" t="s">
        <v>14</v>
      </c>
      <c r="M353" t="s">
        <v>11</v>
      </c>
      <c r="N353" t="s">
        <v>15</v>
      </c>
      <c r="O353" t="s">
        <v>23</v>
      </c>
      <c r="P353">
        <v>20</v>
      </c>
      <c r="Q353" t="s">
        <v>12</v>
      </c>
      <c r="R353" t="str">
        <f t="shared" si="34"/>
        <v>6_12_8_356_01/12/2023_2023_MonMon_PTR_TR_PW_Lys_A_20_Nutrients</v>
      </c>
    </row>
    <row r="354" spans="1:18" x14ac:dyDescent="0.25">
      <c r="A354">
        <v>6</v>
      </c>
      <c r="B354">
        <v>13</v>
      </c>
      <c r="C354">
        <v>9</v>
      </c>
      <c r="D354">
        <v>357</v>
      </c>
      <c r="E354" s="1">
        <v>44938</v>
      </c>
      <c r="F354" s="11">
        <f t="shared" si="33"/>
        <v>44938</v>
      </c>
      <c r="G354">
        <f t="shared" si="31"/>
        <v>2023</v>
      </c>
      <c r="H354">
        <f t="shared" si="32"/>
        <v>1</v>
      </c>
      <c r="I354">
        <f t="shared" si="30"/>
        <v>12</v>
      </c>
      <c r="J354" t="s">
        <v>10</v>
      </c>
      <c r="K354" t="s">
        <v>13</v>
      </c>
      <c r="L354" t="s">
        <v>14</v>
      </c>
      <c r="M354" t="s">
        <v>11</v>
      </c>
      <c r="N354" t="s">
        <v>15</v>
      </c>
      <c r="O354" t="s">
        <v>24</v>
      </c>
      <c r="P354">
        <v>10</v>
      </c>
      <c r="Q354" t="s">
        <v>12</v>
      </c>
      <c r="R354" t="str">
        <f t="shared" si="34"/>
        <v>6_13_9_357_01/12/2023_2023_MonMon_PTR_TR_PW_Lys_B_10_Nutrients</v>
      </c>
    </row>
    <row r="355" spans="1:18" x14ac:dyDescent="0.25">
      <c r="A355">
        <v>6</v>
      </c>
      <c r="B355">
        <v>14</v>
      </c>
      <c r="C355">
        <v>10</v>
      </c>
      <c r="D355">
        <v>358</v>
      </c>
      <c r="E355" s="1">
        <v>44938</v>
      </c>
      <c r="F355" s="11">
        <f t="shared" si="33"/>
        <v>44938</v>
      </c>
      <c r="G355">
        <f t="shared" si="31"/>
        <v>2023</v>
      </c>
      <c r="H355">
        <f t="shared" si="32"/>
        <v>1</v>
      </c>
      <c r="I355">
        <f t="shared" si="30"/>
        <v>12</v>
      </c>
      <c r="J355" t="s">
        <v>10</v>
      </c>
      <c r="K355" t="s">
        <v>13</v>
      </c>
      <c r="L355" t="s">
        <v>14</v>
      </c>
      <c r="M355" t="s">
        <v>11</v>
      </c>
      <c r="N355" t="s">
        <v>15</v>
      </c>
      <c r="O355" t="s">
        <v>24</v>
      </c>
      <c r="P355">
        <v>20</v>
      </c>
      <c r="Q355" t="s">
        <v>12</v>
      </c>
      <c r="R355" t="str">
        <f t="shared" si="34"/>
        <v>6_14_10_358_01/12/2023_2023_MonMon_PTR_TR_PW_Lys_B_20_Nutrients</v>
      </c>
    </row>
    <row r="356" spans="1:18" x14ac:dyDescent="0.25">
      <c r="A356">
        <v>6</v>
      </c>
      <c r="B356">
        <v>15</v>
      </c>
      <c r="C356">
        <v>11</v>
      </c>
      <c r="D356">
        <v>359</v>
      </c>
      <c r="E356" s="1">
        <v>44938</v>
      </c>
      <c r="F356" s="11">
        <f t="shared" si="33"/>
        <v>44938</v>
      </c>
      <c r="G356">
        <f t="shared" si="31"/>
        <v>2023</v>
      </c>
      <c r="H356">
        <f t="shared" si="32"/>
        <v>1</v>
      </c>
      <c r="I356">
        <f t="shared" si="30"/>
        <v>12</v>
      </c>
      <c r="J356" t="s">
        <v>10</v>
      </c>
      <c r="K356" t="s">
        <v>13</v>
      </c>
      <c r="L356" t="s">
        <v>14</v>
      </c>
      <c r="M356" t="s">
        <v>11</v>
      </c>
      <c r="N356" t="s">
        <v>15</v>
      </c>
      <c r="O356" t="s">
        <v>25</v>
      </c>
      <c r="P356">
        <v>10</v>
      </c>
      <c r="Q356" t="s">
        <v>12</v>
      </c>
      <c r="R356" t="str">
        <f t="shared" si="34"/>
        <v>6_15_11_359_01/12/2023_2023_MonMon_PTR_TR_PW_Lys_C_10_Nutrients</v>
      </c>
    </row>
    <row r="357" spans="1:18" x14ac:dyDescent="0.25">
      <c r="A357">
        <v>6</v>
      </c>
      <c r="B357">
        <v>16</v>
      </c>
      <c r="C357">
        <v>12</v>
      </c>
      <c r="D357">
        <v>360</v>
      </c>
      <c r="E357" s="1">
        <v>44938</v>
      </c>
      <c r="F357" s="11">
        <f t="shared" si="33"/>
        <v>44938</v>
      </c>
      <c r="G357">
        <f t="shared" si="31"/>
        <v>2023</v>
      </c>
      <c r="H357">
        <f t="shared" si="32"/>
        <v>1</v>
      </c>
      <c r="I357">
        <f t="shared" si="30"/>
        <v>12</v>
      </c>
      <c r="J357" t="s">
        <v>10</v>
      </c>
      <c r="K357" t="s">
        <v>13</v>
      </c>
      <c r="L357" t="s">
        <v>14</v>
      </c>
      <c r="M357" t="s">
        <v>11</v>
      </c>
      <c r="N357" t="s">
        <v>15</v>
      </c>
      <c r="O357" t="s">
        <v>25</v>
      </c>
      <c r="P357">
        <v>20</v>
      </c>
      <c r="Q357" t="s">
        <v>12</v>
      </c>
      <c r="R357" t="str">
        <f t="shared" si="34"/>
        <v>6_16_12_360_01/12/2023_2023_MonMon_PTR_TR_PW_Lys_C_20_Nutrients</v>
      </c>
    </row>
    <row r="358" spans="1:18" x14ac:dyDescent="0.25">
      <c r="A358">
        <v>6</v>
      </c>
      <c r="B358">
        <v>21</v>
      </c>
      <c r="C358">
        <v>13</v>
      </c>
      <c r="D358">
        <v>361</v>
      </c>
      <c r="E358" s="1">
        <v>44938</v>
      </c>
      <c r="F358" s="11">
        <f t="shared" si="33"/>
        <v>44938</v>
      </c>
      <c r="G358">
        <f t="shared" si="31"/>
        <v>2023</v>
      </c>
      <c r="H358">
        <f t="shared" si="32"/>
        <v>1</v>
      </c>
      <c r="I358">
        <f t="shared" si="30"/>
        <v>12</v>
      </c>
      <c r="J358" t="s">
        <v>10</v>
      </c>
      <c r="K358" t="s">
        <v>13</v>
      </c>
      <c r="L358" t="s">
        <v>9</v>
      </c>
      <c r="M358" t="s">
        <v>11</v>
      </c>
      <c r="N358" t="s">
        <v>27</v>
      </c>
      <c r="O358" t="s">
        <v>23</v>
      </c>
      <c r="P358">
        <v>20</v>
      </c>
      <c r="Q358" t="s">
        <v>12</v>
      </c>
      <c r="R358" t="str">
        <f t="shared" si="34"/>
        <v>6_21_13_361_01/12/2023_2023_MonMon_PTR_W_PW_Sip_A_20_Nutrients</v>
      </c>
    </row>
    <row r="359" spans="1:18" x14ac:dyDescent="0.25">
      <c r="A359">
        <v>6</v>
      </c>
      <c r="B359">
        <v>22</v>
      </c>
      <c r="C359">
        <v>14</v>
      </c>
      <c r="D359">
        <v>362</v>
      </c>
      <c r="E359" s="1">
        <v>44938</v>
      </c>
      <c r="F359" s="11">
        <f t="shared" si="33"/>
        <v>44938</v>
      </c>
      <c r="G359">
        <f t="shared" si="31"/>
        <v>2023</v>
      </c>
      <c r="H359">
        <f t="shared" si="32"/>
        <v>1</v>
      </c>
      <c r="I359">
        <f t="shared" si="30"/>
        <v>12</v>
      </c>
      <c r="J359" t="s">
        <v>10</v>
      </c>
      <c r="K359" t="s">
        <v>13</v>
      </c>
      <c r="L359" t="s">
        <v>9</v>
      </c>
      <c r="M359" t="s">
        <v>11</v>
      </c>
      <c r="N359" t="s">
        <v>27</v>
      </c>
      <c r="O359" t="s">
        <v>23</v>
      </c>
      <c r="P359">
        <v>45</v>
      </c>
      <c r="Q359" t="s">
        <v>12</v>
      </c>
      <c r="R359" t="str">
        <f t="shared" si="34"/>
        <v>6_22_14_362_01/12/2023_2023_MonMon_PTR_W_PW_Sip_A_45_Nutrients</v>
      </c>
    </row>
    <row r="360" spans="1:18" x14ac:dyDescent="0.25">
      <c r="A360">
        <v>6</v>
      </c>
      <c r="B360">
        <v>23</v>
      </c>
      <c r="C360">
        <v>15</v>
      </c>
      <c r="D360">
        <v>363</v>
      </c>
      <c r="E360" s="1">
        <v>44938</v>
      </c>
      <c r="F360" s="11">
        <f t="shared" si="33"/>
        <v>44938</v>
      </c>
      <c r="G360">
        <f t="shared" si="31"/>
        <v>2023</v>
      </c>
      <c r="H360">
        <f t="shared" si="32"/>
        <v>1</v>
      </c>
      <c r="I360">
        <f t="shared" si="30"/>
        <v>12</v>
      </c>
      <c r="J360" t="s">
        <v>10</v>
      </c>
      <c r="K360" t="s">
        <v>13</v>
      </c>
      <c r="L360" t="s">
        <v>9</v>
      </c>
      <c r="M360" t="s">
        <v>11</v>
      </c>
      <c r="N360" t="s">
        <v>27</v>
      </c>
      <c r="O360" t="s">
        <v>24</v>
      </c>
      <c r="P360">
        <v>20</v>
      </c>
      <c r="Q360" t="s">
        <v>12</v>
      </c>
      <c r="R360" t="str">
        <f t="shared" si="34"/>
        <v>6_23_15_363_01/12/2023_2023_MonMon_PTR_W_PW_Sip_B_20_Nutrients</v>
      </c>
    </row>
    <row r="361" spans="1:18" x14ac:dyDescent="0.25">
      <c r="A361">
        <v>6</v>
      </c>
      <c r="B361">
        <v>24</v>
      </c>
      <c r="C361">
        <v>16</v>
      </c>
      <c r="D361">
        <v>364</v>
      </c>
      <c r="E361" s="1">
        <v>44938</v>
      </c>
      <c r="F361" s="11">
        <f t="shared" si="33"/>
        <v>44938</v>
      </c>
      <c r="G361">
        <f t="shared" si="31"/>
        <v>2023</v>
      </c>
      <c r="H361">
        <f t="shared" si="32"/>
        <v>1</v>
      </c>
      <c r="I361">
        <f t="shared" si="30"/>
        <v>12</v>
      </c>
      <c r="J361" t="s">
        <v>10</v>
      </c>
      <c r="K361" t="s">
        <v>13</v>
      </c>
      <c r="L361" t="s">
        <v>9</v>
      </c>
      <c r="M361" t="s">
        <v>11</v>
      </c>
      <c r="N361" t="s">
        <v>27</v>
      </c>
      <c r="O361" t="s">
        <v>24</v>
      </c>
      <c r="P361">
        <v>45</v>
      </c>
      <c r="Q361" t="s">
        <v>12</v>
      </c>
      <c r="R361" t="str">
        <f t="shared" si="34"/>
        <v>6_24_16_364_01/12/2023_2023_MonMon_PTR_W_PW_Sip_B_45_Nutrients</v>
      </c>
    </row>
    <row r="362" spans="1:18" x14ac:dyDescent="0.25">
      <c r="A362">
        <v>6</v>
      </c>
      <c r="B362">
        <v>25</v>
      </c>
      <c r="C362">
        <v>17</v>
      </c>
      <c r="D362">
        <v>365</v>
      </c>
      <c r="E362" s="1">
        <v>44938</v>
      </c>
      <c r="F362" s="11">
        <f t="shared" si="33"/>
        <v>44938</v>
      </c>
      <c r="G362">
        <f t="shared" si="31"/>
        <v>2023</v>
      </c>
      <c r="H362">
        <f t="shared" si="32"/>
        <v>1</v>
      </c>
      <c r="I362">
        <f t="shared" si="30"/>
        <v>12</v>
      </c>
      <c r="J362" t="s">
        <v>10</v>
      </c>
      <c r="K362" t="s">
        <v>13</v>
      </c>
      <c r="L362" t="s">
        <v>9</v>
      </c>
      <c r="M362" t="s">
        <v>11</v>
      </c>
      <c r="N362" t="s">
        <v>27</v>
      </c>
      <c r="O362" t="s">
        <v>25</v>
      </c>
      <c r="P362">
        <v>20</v>
      </c>
      <c r="Q362" t="s">
        <v>12</v>
      </c>
      <c r="R362" t="str">
        <f t="shared" si="34"/>
        <v>6_25_17_365_01/12/2023_2023_MonMon_PTR_W_PW_Sip_C_20_Nutrients</v>
      </c>
    </row>
    <row r="363" spans="1:18" x14ac:dyDescent="0.25">
      <c r="A363">
        <v>6</v>
      </c>
      <c r="B363">
        <v>26</v>
      </c>
      <c r="C363">
        <v>18</v>
      </c>
      <c r="D363">
        <v>366</v>
      </c>
      <c r="E363" s="1">
        <v>44938</v>
      </c>
      <c r="F363" s="11">
        <f t="shared" si="33"/>
        <v>44938</v>
      </c>
      <c r="G363">
        <f t="shared" si="31"/>
        <v>2023</v>
      </c>
      <c r="H363">
        <f t="shared" si="32"/>
        <v>1</v>
      </c>
      <c r="I363">
        <f t="shared" si="30"/>
        <v>12</v>
      </c>
      <c r="J363" t="s">
        <v>10</v>
      </c>
      <c r="K363" t="s">
        <v>13</v>
      </c>
      <c r="L363" t="s">
        <v>9</v>
      </c>
      <c r="M363" t="s">
        <v>11</v>
      </c>
      <c r="N363" t="s">
        <v>27</v>
      </c>
      <c r="O363" t="s">
        <v>25</v>
      </c>
      <c r="P363">
        <v>45</v>
      </c>
      <c r="Q363" t="s">
        <v>12</v>
      </c>
      <c r="R363" t="str">
        <f t="shared" si="34"/>
        <v>6_26_18_366_01/12/2023_2023_MonMon_PTR_W_PW_Sip_C_45_Nutrients</v>
      </c>
    </row>
    <row r="364" spans="1:18" x14ac:dyDescent="0.25">
      <c r="A364">
        <v>6</v>
      </c>
      <c r="B364">
        <v>31</v>
      </c>
      <c r="C364">
        <v>19</v>
      </c>
      <c r="D364">
        <v>367</v>
      </c>
      <c r="E364" s="1">
        <v>44938</v>
      </c>
      <c r="F364" s="11">
        <f t="shared" si="33"/>
        <v>44938</v>
      </c>
      <c r="G364">
        <f t="shared" si="31"/>
        <v>2023</v>
      </c>
      <c r="H364">
        <f t="shared" si="32"/>
        <v>1</v>
      </c>
      <c r="I364">
        <f t="shared" si="30"/>
        <v>12</v>
      </c>
      <c r="J364" t="s">
        <v>10</v>
      </c>
      <c r="K364" t="s">
        <v>13</v>
      </c>
      <c r="L364" t="s">
        <v>17</v>
      </c>
      <c r="M364" t="s">
        <v>26</v>
      </c>
      <c r="N364" t="s">
        <v>18</v>
      </c>
      <c r="O364">
        <v>1</v>
      </c>
      <c r="Q364" t="s">
        <v>12</v>
      </c>
      <c r="R364" t="str">
        <f t="shared" si="34"/>
        <v>6_31_19_367_01/12/2023_2023_MonMon_PTR_UP_RZ_Rz_1__Nutrients</v>
      </c>
    </row>
    <row r="365" spans="1:18" x14ac:dyDescent="0.25">
      <c r="A365">
        <v>6</v>
      </c>
      <c r="B365">
        <v>32</v>
      </c>
      <c r="C365">
        <v>20</v>
      </c>
      <c r="D365">
        <v>368</v>
      </c>
      <c r="E365" s="1">
        <v>44938</v>
      </c>
      <c r="F365" s="11">
        <f t="shared" si="33"/>
        <v>44938</v>
      </c>
      <c r="G365">
        <f t="shared" si="31"/>
        <v>2023</v>
      </c>
      <c r="H365">
        <f t="shared" si="32"/>
        <v>1</v>
      </c>
      <c r="I365">
        <f t="shared" si="30"/>
        <v>12</v>
      </c>
      <c r="J365" t="s">
        <v>10</v>
      </c>
      <c r="K365" t="s">
        <v>13</v>
      </c>
      <c r="L365" t="s">
        <v>17</v>
      </c>
      <c r="M365" t="s">
        <v>26</v>
      </c>
      <c r="N365" t="s">
        <v>18</v>
      </c>
      <c r="O365">
        <v>2</v>
      </c>
      <c r="Q365" t="s">
        <v>12</v>
      </c>
      <c r="R365" t="str">
        <f t="shared" si="34"/>
        <v>6_32_20_368_01/12/2023_2023_MonMon_PTR_UP_RZ_Rz_2__Nutrients</v>
      </c>
    </row>
    <row r="366" spans="1:18" x14ac:dyDescent="0.25">
      <c r="A366">
        <v>6</v>
      </c>
      <c r="B366">
        <v>33</v>
      </c>
      <c r="C366">
        <v>21</v>
      </c>
      <c r="D366">
        <v>369</v>
      </c>
      <c r="E366" s="1">
        <v>44938</v>
      </c>
      <c r="F366" s="11">
        <f t="shared" si="33"/>
        <v>44938</v>
      </c>
      <c r="G366">
        <f t="shared" si="31"/>
        <v>2023</v>
      </c>
      <c r="H366">
        <f t="shared" si="32"/>
        <v>1</v>
      </c>
      <c r="I366">
        <f t="shared" si="30"/>
        <v>12</v>
      </c>
      <c r="J366" t="s">
        <v>10</v>
      </c>
      <c r="K366" t="s">
        <v>13</v>
      </c>
      <c r="L366" t="s">
        <v>17</v>
      </c>
      <c r="M366" t="s">
        <v>26</v>
      </c>
      <c r="N366" t="s">
        <v>18</v>
      </c>
      <c r="O366">
        <v>3</v>
      </c>
      <c r="Q366" t="s">
        <v>12</v>
      </c>
      <c r="R366" t="str">
        <f t="shared" si="34"/>
        <v>6_33_21_369_01/12/2023_2023_MonMon_PTR_UP_RZ_Rz_3__Nutrients</v>
      </c>
    </row>
    <row r="367" spans="1:18" x14ac:dyDescent="0.25">
      <c r="A367">
        <v>6</v>
      </c>
      <c r="B367">
        <v>34</v>
      </c>
      <c r="C367">
        <v>22</v>
      </c>
      <c r="D367">
        <v>370</v>
      </c>
      <c r="E367" s="1">
        <v>44938</v>
      </c>
      <c r="F367" s="11">
        <f t="shared" si="33"/>
        <v>44938</v>
      </c>
      <c r="G367">
        <f t="shared" si="31"/>
        <v>2023</v>
      </c>
      <c r="H367">
        <f t="shared" si="32"/>
        <v>1</v>
      </c>
      <c r="I367">
        <f t="shared" si="30"/>
        <v>12</v>
      </c>
      <c r="J367" t="s">
        <v>10</v>
      </c>
      <c r="K367" t="s">
        <v>13</v>
      </c>
      <c r="L367" t="s">
        <v>17</v>
      </c>
      <c r="M367" t="s">
        <v>26</v>
      </c>
      <c r="N367" t="s">
        <v>18</v>
      </c>
      <c r="O367">
        <v>4</v>
      </c>
      <c r="Q367" t="s">
        <v>12</v>
      </c>
      <c r="R367" t="str">
        <f t="shared" si="34"/>
        <v>6_34_22_370_01/12/2023_2023_MonMon_PTR_UP_RZ_Rz_4__Nutrients</v>
      </c>
    </row>
    <row r="368" spans="1:18" x14ac:dyDescent="0.25">
      <c r="A368">
        <v>6</v>
      </c>
      <c r="B368">
        <v>35</v>
      </c>
      <c r="C368">
        <v>23</v>
      </c>
      <c r="D368">
        <v>371</v>
      </c>
      <c r="E368" s="1">
        <v>44938</v>
      </c>
      <c r="F368" s="11">
        <f t="shared" si="33"/>
        <v>44938</v>
      </c>
      <c r="G368">
        <f t="shared" si="31"/>
        <v>2023</v>
      </c>
      <c r="H368">
        <f t="shared" si="32"/>
        <v>1</v>
      </c>
      <c r="I368">
        <f t="shared" si="30"/>
        <v>12</v>
      </c>
      <c r="J368" t="s">
        <v>10</v>
      </c>
      <c r="K368" t="s">
        <v>13</v>
      </c>
      <c r="L368" t="s">
        <v>17</v>
      </c>
      <c r="M368" t="s">
        <v>26</v>
      </c>
      <c r="N368" t="s">
        <v>18</v>
      </c>
      <c r="O368">
        <v>5</v>
      </c>
      <c r="Q368" t="s">
        <v>12</v>
      </c>
      <c r="R368" t="str">
        <f t="shared" si="34"/>
        <v>6_35_23_371_01/12/2023_2023_MonMon_PTR_UP_RZ_Rz_5__Nutrients</v>
      </c>
    </row>
    <row r="369" spans="1:18" x14ac:dyDescent="0.25">
      <c r="A369">
        <v>6</v>
      </c>
      <c r="B369">
        <v>36</v>
      </c>
      <c r="C369">
        <v>24</v>
      </c>
      <c r="D369">
        <v>372</v>
      </c>
      <c r="E369" s="1">
        <v>44938</v>
      </c>
      <c r="F369" s="11">
        <f t="shared" si="33"/>
        <v>44938</v>
      </c>
      <c r="G369">
        <f t="shared" si="31"/>
        <v>2023</v>
      </c>
      <c r="H369">
        <f t="shared" si="32"/>
        <v>1</v>
      </c>
      <c r="I369">
        <f t="shared" si="30"/>
        <v>12</v>
      </c>
      <c r="J369" t="s">
        <v>10</v>
      </c>
      <c r="K369" t="s">
        <v>13</v>
      </c>
      <c r="L369" t="s">
        <v>17</v>
      </c>
      <c r="M369" t="s">
        <v>26</v>
      </c>
      <c r="N369" t="s">
        <v>18</v>
      </c>
      <c r="O369">
        <v>6</v>
      </c>
      <c r="Q369" t="s">
        <v>12</v>
      </c>
      <c r="R369" t="str">
        <f t="shared" si="34"/>
        <v>6_36_24_372_01/12/2023_2023_MonMon_PTR_UP_RZ_Rz_6__Nutrients</v>
      </c>
    </row>
    <row r="370" spans="1:18" x14ac:dyDescent="0.25">
      <c r="A370">
        <v>6</v>
      </c>
      <c r="B370">
        <v>37</v>
      </c>
      <c r="C370">
        <v>25</v>
      </c>
      <c r="D370">
        <v>373</v>
      </c>
      <c r="E370" s="1">
        <v>44938</v>
      </c>
      <c r="F370" s="11">
        <f t="shared" si="33"/>
        <v>44938</v>
      </c>
      <c r="G370">
        <f t="shared" si="31"/>
        <v>2023</v>
      </c>
      <c r="H370">
        <f t="shared" si="32"/>
        <v>1</v>
      </c>
      <c r="I370">
        <f t="shared" si="30"/>
        <v>12</v>
      </c>
      <c r="J370" t="s">
        <v>10</v>
      </c>
      <c r="K370" t="s">
        <v>13</v>
      </c>
      <c r="L370" t="s">
        <v>17</v>
      </c>
      <c r="M370" t="s">
        <v>26</v>
      </c>
      <c r="N370" t="s">
        <v>18</v>
      </c>
      <c r="O370">
        <v>7</v>
      </c>
      <c r="Q370" t="s">
        <v>12</v>
      </c>
      <c r="R370" t="str">
        <f t="shared" si="34"/>
        <v>6_37_25_373_01/12/2023_2023_MonMon_PTR_UP_RZ_Rz_7__Nutrients</v>
      </c>
    </row>
    <row r="371" spans="1:18" x14ac:dyDescent="0.25">
      <c r="A371">
        <v>6</v>
      </c>
      <c r="B371">
        <v>38</v>
      </c>
      <c r="C371">
        <v>26</v>
      </c>
      <c r="D371">
        <v>374</v>
      </c>
      <c r="E371" s="1">
        <v>44938</v>
      </c>
      <c r="F371" s="11">
        <f t="shared" si="33"/>
        <v>44938</v>
      </c>
      <c r="G371">
        <f t="shared" si="31"/>
        <v>2023</v>
      </c>
      <c r="H371">
        <f t="shared" si="32"/>
        <v>1</v>
      </c>
      <c r="I371">
        <f t="shared" si="30"/>
        <v>12</v>
      </c>
      <c r="J371" t="s">
        <v>10</v>
      </c>
      <c r="K371" t="s">
        <v>13</v>
      </c>
      <c r="L371" t="s">
        <v>17</v>
      </c>
      <c r="M371" t="s">
        <v>26</v>
      </c>
      <c r="N371" t="s">
        <v>18</v>
      </c>
      <c r="O371">
        <v>8</v>
      </c>
      <c r="Q371" t="s">
        <v>12</v>
      </c>
      <c r="R371" t="str">
        <f t="shared" si="34"/>
        <v>6_38_26_374_01/12/2023_2023_MonMon_PTR_UP_RZ_Rz_8__Nutrients</v>
      </c>
    </row>
    <row r="372" spans="1:18" x14ac:dyDescent="0.25">
      <c r="A372">
        <v>6</v>
      </c>
      <c r="B372">
        <v>41</v>
      </c>
      <c r="C372">
        <v>27</v>
      </c>
      <c r="D372">
        <v>375</v>
      </c>
      <c r="E372" s="1">
        <v>44938</v>
      </c>
      <c r="F372" s="11">
        <f t="shared" si="33"/>
        <v>44938</v>
      </c>
      <c r="G372">
        <f t="shared" si="31"/>
        <v>2023</v>
      </c>
      <c r="H372">
        <f t="shared" si="32"/>
        <v>1</v>
      </c>
      <c r="I372">
        <f t="shared" si="30"/>
        <v>12</v>
      </c>
      <c r="J372" t="s">
        <v>10</v>
      </c>
      <c r="K372" t="s">
        <v>13</v>
      </c>
      <c r="L372" t="s">
        <v>14</v>
      </c>
      <c r="M372" t="s">
        <v>26</v>
      </c>
      <c r="N372" t="s">
        <v>18</v>
      </c>
      <c r="O372">
        <v>1</v>
      </c>
      <c r="Q372" t="s">
        <v>12</v>
      </c>
      <c r="R372" t="str">
        <f t="shared" si="34"/>
        <v>6_41_27_375_01/12/2023_2023_MonMon_PTR_TR_RZ_Rz_1__Nutrients</v>
      </c>
    </row>
    <row r="373" spans="1:18" x14ac:dyDescent="0.25">
      <c r="A373">
        <v>6</v>
      </c>
      <c r="B373">
        <v>43</v>
      </c>
      <c r="C373">
        <v>28</v>
      </c>
      <c r="D373">
        <v>376</v>
      </c>
      <c r="E373" s="1">
        <v>44938</v>
      </c>
      <c r="F373" s="11">
        <f t="shared" si="33"/>
        <v>44938</v>
      </c>
      <c r="G373">
        <f t="shared" si="31"/>
        <v>2023</v>
      </c>
      <c r="H373">
        <f t="shared" si="32"/>
        <v>1</v>
      </c>
      <c r="I373">
        <f t="shared" si="30"/>
        <v>12</v>
      </c>
      <c r="J373" t="s">
        <v>10</v>
      </c>
      <c r="K373" t="s">
        <v>13</v>
      </c>
      <c r="L373" t="s">
        <v>14</v>
      </c>
      <c r="M373" t="s">
        <v>26</v>
      </c>
      <c r="N373" t="s">
        <v>18</v>
      </c>
      <c r="O373">
        <v>3</v>
      </c>
      <c r="Q373" t="s">
        <v>12</v>
      </c>
      <c r="R373" t="str">
        <f t="shared" si="34"/>
        <v>6_43_28_376_01/12/2023_2023_MonMon_PTR_TR_RZ_Rz_3__Nutrients</v>
      </c>
    </row>
    <row r="374" spans="1:18" x14ac:dyDescent="0.25">
      <c r="A374">
        <v>6</v>
      </c>
      <c r="B374">
        <v>44</v>
      </c>
      <c r="C374">
        <v>29</v>
      </c>
      <c r="D374">
        <v>377</v>
      </c>
      <c r="E374" s="1">
        <v>44938</v>
      </c>
      <c r="F374" s="11">
        <f t="shared" si="33"/>
        <v>44938</v>
      </c>
      <c r="G374">
        <f t="shared" si="31"/>
        <v>2023</v>
      </c>
      <c r="H374">
        <f t="shared" si="32"/>
        <v>1</v>
      </c>
      <c r="I374">
        <f t="shared" si="30"/>
        <v>12</v>
      </c>
      <c r="J374" t="s">
        <v>10</v>
      </c>
      <c r="K374" t="s">
        <v>13</v>
      </c>
      <c r="L374" t="s">
        <v>14</v>
      </c>
      <c r="M374" t="s">
        <v>26</v>
      </c>
      <c r="N374" t="s">
        <v>18</v>
      </c>
      <c r="O374">
        <v>4</v>
      </c>
      <c r="Q374" t="s">
        <v>12</v>
      </c>
      <c r="R374" t="str">
        <f t="shared" si="34"/>
        <v>6_44_29_377_01/12/2023_2023_MonMon_PTR_TR_RZ_Rz_4__Nutrients</v>
      </c>
    </row>
    <row r="375" spans="1:18" x14ac:dyDescent="0.25">
      <c r="A375">
        <v>6</v>
      </c>
      <c r="B375">
        <v>45</v>
      </c>
      <c r="C375">
        <v>30</v>
      </c>
      <c r="D375">
        <v>378</v>
      </c>
      <c r="E375" s="1">
        <v>44938</v>
      </c>
      <c r="F375" s="11">
        <f t="shared" si="33"/>
        <v>44938</v>
      </c>
      <c r="G375">
        <f t="shared" si="31"/>
        <v>2023</v>
      </c>
      <c r="H375">
        <f t="shared" si="32"/>
        <v>1</v>
      </c>
      <c r="I375">
        <f t="shared" si="30"/>
        <v>12</v>
      </c>
      <c r="J375" t="s">
        <v>10</v>
      </c>
      <c r="K375" t="s">
        <v>13</v>
      </c>
      <c r="L375" t="s">
        <v>14</v>
      </c>
      <c r="M375" t="s">
        <v>26</v>
      </c>
      <c r="N375" t="s">
        <v>18</v>
      </c>
      <c r="O375">
        <v>5</v>
      </c>
      <c r="Q375" t="s">
        <v>12</v>
      </c>
      <c r="R375" t="str">
        <f t="shared" si="34"/>
        <v>6_45_30_378_01/12/2023_2023_MonMon_PTR_TR_RZ_Rz_5__Nutrients</v>
      </c>
    </row>
    <row r="376" spans="1:18" x14ac:dyDescent="0.25">
      <c r="A376">
        <v>6</v>
      </c>
      <c r="B376">
        <v>46</v>
      </c>
      <c r="C376">
        <v>31</v>
      </c>
      <c r="D376">
        <v>379</v>
      </c>
      <c r="E376" s="1">
        <v>44938</v>
      </c>
      <c r="F376" s="11">
        <f t="shared" si="33"/>
        <v>44938</v>
      </c>
      <c r="G376">
        <f t="shared" si="31"/>
        <v>2023</v>
      </c>
      <c r="H376">
        <f t="shared" si="32"/>
        <v>1</v>
      </c>
      <c r="I376">
        <f t="shared" ref="I376:I442" si="35">DAY(E376)</f>
        <v>12</v>
      </c>
      <c r="J376" t="s">
        <v>10</v>
      </c>
      <c r="K376" t="s">
        <v>13</v>
      </c>
      <c r="L376" t="s">
        <v>14</v>
      </c>
      <c r="M376" t="s">
        <v>26</v>
      </c>
      <c r="N376" t="s">
        <v>18</v>
      </c>
      <c r="O376">
        <v>6</v>
      </c>
      <c r="Q376" t="s">
        <v>12</v>
      </c>
      <c r="R376" t="str">
        <f t="shared" si="34"/>
        <v>6_46_31_379_01/12/2023_2023_MonMon_PTR_TR_RZ_Rz_6__Nutrients</v>
      </c>
    </row>
    <row r="377" spans="1:18" x14ac:dyDescent="0.25">
      <c r="A377">
        <v>6</v>
      </c>
      <c r="B377">
        <v>47</v>
      </c>
      <c r="C377">
        <v>32</v>
      </c>
      <c r="D377">
        <v>380</v>
      </c>
      <c r="E377" s="1">
        <v>44938</v>
      </c>
      <c r="F377" s="11">
        <f t="shared" si="33"/>
        <v>44938</v>
      </c>
      <c r="G377">
        <f t="shared" si="31"/>
        <v>2023</v>
      </c>
      <c r="H377">
        <f t="shared" si="32"/>
        <v>1</v>
      </c>
      <c r="I377">
        <f t="shared" si="35"/>
        <v>12</v>
      </c>
      <c r="J377" t="s">
        <v>10</v>
      </c>
      <c r="K377" t="s">
        <v>13</v>
      </c>
      <c r="L377" t="s">
        <v>14</v>
      </c>
      <c r="M377" t="s">
        <v>26</v>
      </c>
      <c r="N377" t="s">
        <v>18</v>
      </c>
      <c r="O377">
        <v>7</v>
      </c>
      <c r="Q377" t="s">
        <v>12</v>
      </c>
      <c r="R377" t="str">
        <f t="shared" si="34"/>
        <v>6_47_32_380_01/12/2023_2023_MonMon_PTR_TR_RZ_Rz_7__Nutrients</v>
      </c>
    </row>
    <row r="378" spans="1:18" x14ac:dyDescent="0.25">
      <c r="A378">
        <v>6</v>
      </c>
      <c r="B378">
        <v>48</v>
      </c>
      <c r="C378">
        <v>33</v>
      </c>
      <c r="D378">
        <v>381</v>
      </c>
      <c r="E378" s="1">
        <v>44938</v>
      </c>
      <c r="F378" s="11">
        <f t="shared" si="33"/>
        <v>44938</v>
      </c>
      <c r="G378">
        <f t="shared" si="31"/>
        <v>2023</v>
      </c>
      <c r="H378">
        <f t="shared" si="32"/>
        <v>1</v>
      </c>
      <c r="I378">
        <f t="shared" si="35"/>
        <v>12</v>
      </c>
      <c r="J378" t="s">
        <v>10</v>
      </c>
      <c r="K378" t="s">
        <v>13</v>
      </c>
      <c r="L378" t="s">
        <v>14</v>
      </c>
      <c r="M378" t="s">
        <v>26</v>
      </c>
      <c r="N378" t="s">
        <v>18</v>
      </c>
      <c r="O378">
        <v>8</v>
      </c>
      <c r="Q378" t="s">
        <v>12</v>
      </c>
      <c r="R378" t="str">
        <f t="shared" si="34"/>
        <v>6_48_33_381_01/12/2023_2023_MonMon_PTR_TR_RZ_Rz_8__Nutrients</v>
      </c>
    </row>
    <row r="379" spans="1:18" x14ac:dyDescent="0.25">
      <c r="A379">
        <v>6</v>
      </c>
      <c r="B379">
        <v>49</v>
      </c>
      <c r="C379">
        <v>34</v>
      </c>
      <c r="D379">
        <v>382</v>
      </c>
      <c r="E379" s="1">
        <v>44938</v>
      </c>
      <c r="F379" s="11">
        <f t="shared" si="33"/>
        <v>44938</v>
      </c>
      <c r="G379">
        <f t="shared" ref="G379:G381" si="36">YEAR(E379)</f>
        <v>2023</v>
      </c>
      <c r="H379">
        <f t="shared" ref="H379:H381" si="37">MONTH(E379)</f>
        <v>1</v>
      </c>
      <c r="I379">
        <f t="shared" ref="I379:I381" si="38">DAY(E379)</f>
        <v>12</v>
      </c>
      <c r="J379" t="s">
        <v>10</v>
      </c>
      <c r="K379" t="s">
        <v>49</v>
      </c>
      <c r="L379" t="s">
        <v>49</v>
      </c>
      <c r="M379" t="s">
        <v>49</v>
      </c>
      <c r="N379" t="s">
        <v>49</v>
      </c>
      <c r="O379" t="s">
        <v>49</v>
      </c>
      <c r="Q379" t="s">
        <v>12</v>
      </c>
      <c r="R379" t="str">
        <f t="shared" si="34"/>
        <v>6_49_34_382_01/12/2023_2023_MonMon_Blank_Blank_Blank_Blank_Blank__Nutrients</v>
      </c>
    </row>
    <row r="380" spans="1:18" x14ac:dyDescent="0.25">
      <c r="A380">
        <v>6</v>
      </c>
      <c r="B380">
        <v>50</v>
      </c>
      <c r="C380">
        <v>35</v>
      </c>
      <c r="D380">
        <v>383</v>
      </c>
      <c r="E380" s="1">
        <v>44938</v>
      </c>
      <c r="F380" s="11">
        <f t="shared" si="33"/>
        <v>44938</v>
      </c>
      <c r="G380">
        <f t="shared" si="36"/>
        <v>2023</v>
      </c>
      <c r="H380">
        <f t="shared" si="37"/>
        <v>1</v>
      </c>
      <c r="I380">
        <f t="shared" si="38"/>
        <v>12</v>
      </c>
      <c r="J380" t="s">
        <v>10</v>
      </c>
      <c r="K380" t="s">
        <v>49</v>
      </c>
      <c r="L380" t="s">
        <v>49</v>
      </c>
      <c r="M380" t="s">
        <v>49</v>
      </c>
      <c r="N380" t="s">
        <v>49</v>
      </c>
      <c r="O380" t="s">
        <v>49</v>
      </c>
      <c r="Q380" t="s">
        <v>12</v>
      </c>
      <c r="R380" t="str">
        <f t="shared" si="34"/>
        <v>6_50_35_383_01/12/2023_2023_MonMon_Blank_Blank_Blank_Blank_Blank__Nutrients</v>
      </c>
    </row>
    <row r="381" spans="1:18" x14ac:dyDescent="0.25">
      <c r="A381">
        <v>6</v>
      </c>
      <c r="B381">
        <v>51</v>
      </c>
      <c r="C381">
        <v>36</v>
      </c>
      <c r="D381">
        <v>384</v>
      </c>
      <c r="E381" s="1">
        <v>44938</v>
      </c>
      <c r="F381" s="11">
        <f t="shared" si="33"/>
        <v>44938</v>
      </c>
      <c r="G381">
        <f t="shared" si="36"/>
        <v>2023</v>
      </c>
      <c r="H381">
        <f t="shared" si="37"/>
        <v>1</v>
      </c>
      <c r="I381">
        <f t="shared" si="38"/>
        <v>12</v>
      </c>
      <c r="J381" t="s">
        <v>10</v>
      </c>
      <c r="K381" t="s">
        <v>49</v>
      </c>
      <c r="L381" t="s">
        <v>49</v>
      </c>
      <c r="M381" t="s">
        <v>49</v>
      </c>
      <c r="N381" t="s">
        <v>49</v>
      </c>
      <c r="O381" t="s">
        <v>49</v>
      </c>
      <c r="Q381" t="s">
        <v>12</v>
      </c>
      <c r="R381" t="str">
        <f t="shared" si="34"/>
        <v>6_51_36_384_01/12/2023_2023_MonMon_Blank_Blank_Blank_Blank_Blank__Nutrients</v>
      </c>
    </row>
    <row r="382" spans="1:18" x14ac:dyDescent="0.25">
      <c r="A382">
        <v>7</v>
      </c>
      <c r="B382">
        <v>1</v>
      </c>
      <c r="D382">
        <v>385</v>
      </c>
      <c r="E382" s="1">
        <v>44967</v>
      </c>
      <c r="F382" s="11">
        <f t="shared" si="33"/>
        <v>44967</v>
      </c>
      <c r="G382">
        <f t="shared" si="31"/>
        <v>2023</v>
      </c>
      <c r="H382">
        <f t="shared" si="32"/>
        <v>2</v>
      </c>
      <c r="I382">
        <f t="shared" si="35"/>
        <v>10</v>
      </c>
      <c r="J382" t="s">
        <v>10</v>
      </c>
      <c r="K382" t="s">
        <v>8</v>
      </c>
      <c r="L382" t="s">
        <v>9</v>
      </c>
      <c r="M382" t="s">
        <v>11</v>
      </c>
      <c r="N382" t="s">
        <v>27</v>
      </c>
      <c r="O382" t="s">
        <v>23</v>
      </c>
      <c r="P382">
        <v>10</v>
      </c>
      <c r="Q382" t="s">
        <v>12</v>
      </c>
      <c r="R382" t="str">
        <f t="shared" si="34"/>
        <v>7_1__385_02/10/2023_2023_MonMon_OWC_W_PW_Sip_A_10_Nutrients</v>
      </c>
    </row>
    <row r="383" spans="1:18" x14ac:dyDescent="0.25">
      <c r="A383">
        <v>7</v>
      </c>
      <c r="B383">
        <v>2</v>
      </c>
      <c r="D383">
        <v>386</v>
      </c>
      <c r="E383" s="1">
        <v>44967</v>
      </c>
      <c r="F383" s="11">
        <f t="shared" si="33"/>
        <v>44967</v>
      </c>
      <c r="G383">
        <f t="shared" si="31"/>
        <v>2023</v>
      </c>
      <c r="H383">
        <f t="shared" si="32"/>
        <v>2</v>
      </c>
      <c r="I383">
        <f t="shared" si="35"/>
        <v>10</v>
      </c>
      <c r="J383" t="s">
        <v>10</v>
      </c>
      <c r="K383" t="s">
        <v>8</v>
      </c>
      <c r="L383" t="s">
        <v>9</v>
      </c>
      <c r="M383" t="s">
        <v>11</v>
      </c>
      <c r="N383" t="s">
        <v>27</v>
      </c>
      <c r="O383" t="s">
        <v>23</v>
      </c>
      <c r="P383">
        <v>20</v>
      </c>
      <c r="Q383" t="s">
        <v>12</v>
      </c>
      <c r="R383" t="str">
        <f t="shared" si="34"/>
        <v>7_2__386_02/10/2023_2023_MonMon_OWC_W_PW_Sip_A_20_Nutrients</v>
      </c>
    </row>
    <row r="384" spans="1:18" x14ac:dyDescent="0.25">
      <c r="A384">
        <v>7</v>
      </c>
      <c r="B384">
        <v>3</v>
      </c>
      <c r="D384">
        <v>387</v>
      </c>
      <c r="E384" s="1">
        <v>44967</v>
      </c>
      <c r="F384" s="11">
        <f t="shared" si="33"/>
        <v>44967</v>
      </c>
      <c r="G384">
        <f t="shared" si="31"/>
        <v>2023</v>
      </c>
      <c r="H384">
        <f t="shared" si="32"/>
        <v>2</v>
      </c>
      <c r="I384">
        <f t="shared" si="35"/>
        <v>10</v>
      </c>
      <c r="J384" t="s">
        <v>10</v>
      </c>
      <c r="K384" t="s">
        <v>8</v>
      </c>
      <c r="L384" t="s">
        <v>9</v>
      </c>
      <c r="M384" t="s">
        <v>11</v>
      </c>
      <c r="N384" t="s">
        <v>27</v>
      </c>
      <c r="O384" t="s">
        <v>23</v>
      </c>
      <c r="P384">
        <v>45</v>
      </c>
      <c r="Q384" t="s">
        <v>12</v>
      </c>
      <c r="R384" t="str">
        <f t="shared" si="34"/>
        <v>7_3__387_02/10/2023_2023_MonMon_OWC_W_PW_Sip_A_45_Nutrients</v>
      </c>
    </row>
    <row r="385" spans="1:18" x14ac:dyDescent="0.25">
      <c r="A385">
        <v>7</v>
      </c>
      <c r="B385">
        <v>4</v>
      </c>
      <c r="D385">
        <v>388</v>
      </c>
      <c r="E385" s="1">
        <v>44967</v>
      </c>
      <c r="F385" s="11">
        <f t="shared" si="33"/>
        <v>44967</v>
      </c>
      <c r="G385">
        <f t="shared" si="31"/>
        <v>2023</v>
      </c>
      <c r="H385">
        <f t="shared" si="32"/>
        <v>2</v>
      </c>
      <c r="I385">
        <f t="shared" si="35"/>
        <v>10</v>
      </c>
      <c r="J385" t="s">
        <v>10</v>
      </c>
      <c r="K385" t="s">
        <v>8</v>
      </c>
      <c r="L385" t="s">
        <v>9</v>
      </c>
      <c r="M385" t="s">
        <v>11</v>
      </c>
      <c r="N385" t="s">
        <v>27</v>
      </c>
      <c r="O385" t="s">
        <v>24</v>
      </c>
      <c r="P385">
        <v>10</v>
      </c>
      <c r="Q385" t="s">
        <v>12</v>
      </c>
      <c r="R385" t="str">
        <f t="shared" si="34"/>
        <v>7_4__388_02/10/2023_2023_MonMon_OWC_W_PW_Sip_B_10_Nutrients</v>
      </c>
    </row>
    <row r="386" spans="1:18" x14ac:dyDescent="0.25">
      <c r="A386">
        <v>7</v>
      </c>
      <c r="B386">
        <v>5</v>
      </c>
      <c r="D386">
        <v>389</v>
      </c>
      <c r="E386" s="1">
        <v>44967</v>
      </c>
      <c r="F386" s="11">
        <f t="shared" si="33"/>
        <v>44967</v>
      </c>
      <c r="G386">
        <f t="shared" si="31"/>
        <v>2023</v>
      </c>
      <c r="H386">
        <f t="shared" si="32"/>
        <v>2</v>
      </c>
      <c r="I386">
        <f t="shared" si="35"/>
        <v>10</v>
      </c>
      <c r="J386" t="s">
        <v>10</v>
      </c>
      <c r="K386" t="s">
        <v>8</v>
      </c>
      <c r="L386" t="s">
        <v>9</v>
      </c>
      <c r="M386" t="s">
        <v>11</v>
      </c>
      <c r="N386" t="s">
        <v>27</v>
      </c>
      <c r="O386" t="s">
        <v>24</v>
      </c>
      <c r="P386">
        <v>20</v>
      </c>
      <c r="Q386" t="s">
        <v>12</v>
      </c>
      <c r="R386" t="str">
        <f t="shared" si="34"/>
        <v>7_5__389_02/10/2023_2023_MonMon_OWC_W_PW_Sip_B_20_Nutrients</v>
      </c>
    </row>
    <row r="387" spans="1:18" x14ac:dyDescent="0.25">
      <c r="A387">
        <v>7</v>
      </c>
      <c r="B387">
        <v>6</v>
      </c>
      <c r="D387">
        <v>390</v>
      </c>
      <c r="E387" s="1">
        <v>44967</v>
      </c>
      <c r="F387" s="11">
        <f t="shared" ref="F387:F450" si="39">E387</f>
        <v>44967</v>
      </c>
      <c r="G387">
        <f t="shared" si="31"/>
        <v>2023</v>
      </c>
      <c r="H387">
        <f t="shared" si="32"/>
        <v>2</v>
      </c>
      <c r="I387">
        <f t="shared" si="35"/>
        <v>10</v>
      </c>
      <c r="J387" t="s">
        <v>10</v>
      </c>
      <c r="K387" t="s">
        <v>8</v>
      </c>
      <c r="L387" t="s">
        <v>9</v>
      </c>
      <c r="M387" t="s">
        <v>11</v>
      </c>
      <c r="N387" t="s">
        <v>27</v>
      </c>
      <c r="O387" t="s">
        <v>24</v>
      </c>
      <c r="P387">
        <v>45</v>
      </c>
      <c r="Q387" t="s">
        <v>12</v>
      </c>
      <c r="R387" t="str">
        <f t="shared" ref="R387:R450" si="40">CONCATENATE(A387,"_",B387,"_", C387,"_",D387,"_",TEXT(E387, "mm/dd/yyyy"),"_",G387,"_",J387,"_",K387,"_",L387,"_",M387,"_",N387,"_",O387,"_",P387,"_",Q387)</f>
        <v>7_6__390_02/10/2023_2023_MonMon_OWC_W_PW_Sip_B_45_Nutrients</v>
      </c>
    </row>
    <row r="388" spans="1:18" x14ac:dyDescent="0.25">
      <c r="A388">
        <v>7</v>
      </c>
      <c r="B388">
        <v>7</v>
      </c>
      <c r="D388">
        <v>391</v>
      </c>
      <c r="E388" s="1">
        <v>44967</v>
      </c>
      <c r="F388" s="11">
        <f t="shared" si="39"/>
        <v>44967</v>
      </c>
      <c r="G388">
        <f t="shared" si="31"/>
        <v>2023</v>
      </c>
      <c r="H388">
        <f t="shared" si="32"/>
        <v>2</v>
      </c>
      <c r="I388">
        <f t="shared" si="35"/>
        <v>10</v>
      </c>
      <c r="J388" t="s">
        <v>10</v>
      </c>
      <c r="K388" t="s">
        <v>8</v>
      </c>
      <c r="L388" t="s">
        <v>9</v>
      </c>
      <c r="M388" t="s">
        <v>11</v>
      </c>
      <c r="N388" t="s">
        <v>27</v>
      </c>
      <c r="O388" t="s">
        <v>25</v>
      </c>
      <c r="P388">
        <v>10</v>
      </c>
      <c r="Q388" t="s">
        <v>12</v>
      </c>
      <c r="R388" t="str">
        <f t="shared" si="40"/>
        <v>7_7__391_02/10/2023_2023_MonMon_OWC_W_PW_Sip_C_10_Nutrients</v>
      </c>
    </row>
    <row r="389" spans="1:18" x14ac:dyDescent="0.25">
      <c r="A389">
        <v>7</v>
      </c>
      <c r="B389">
        <v>8</v>
      </c>
      <c r="D389">
        <v>392</v>
      </c>
      <c r="E389" s="1">
        <v>44967</v>
      </c>
      <c r="F389" s="11">
        <f t="shared" si="39"/>
        <v>44967</v>
      </c>
      <c r="G389">
        <f t="shared" ref="G389:G452" si="41">YEAR(E389)</f>
        <v>2023</v>
      </c>
      <c r="H389">
        <f t="shared" ref="H389:H452" si="42">MONTH(E389)</f>
        <v>2</v>
      </c>
      <c r="I389">
        <f t="shared" si="35"/>
        <v>10</v>
      </c>
      <c r="J389" t="s">
        <v>10</v>
      </c>
      <c r="K389" t="s">
        <v>8</v>
      </c>
      <c r="L389" t="s">
        <v>9</v>
      </c>
      <c r="M389" t="s">
        <v>11</v>
      </c>
      <c r="N389" t="s">
        <v>27</v>
      </c>
      <c r="O389" t="s">
        <v>25</v>
      </c>
      <c r="P389">
        <v>20</v>
      </c>
      <c r="Q389" t="s">
        <v>12</v>
      </c>
      <c r="R389" t="str">
        <f t="shared" si="40"/>
        <v>7_8__392_02/10/2023_2023_MonMon_OWC_W_PW_Sip_C_20_Nutrients</v>
      </c>
    </row>
    <row r="390" spans="1:18" x14ac:dyDescent="0.25">
      <c r="A390">
        <v>7</v>
      </c>
      <c r="B390">
        <v>9</v>
      </c>
      <c r="D390">
        <v>393</v>
      </c>
      <c r="E390" s="1">
        <v>44967</v>
      </c>
      <c r="F390" s="11">
        <f t="shared" si="39"/>
        <v>44967</v>
      </c>
      <c r="G390">
        <f t="shared" si="41"/>
        <v>2023</v>
      </c>
      <c r="H390">
        <f t="shared" si="42"/>
        <v>2</v>
      </c>
      <c r="I390">
        <f t="shared" si="35"/>
        <v>10</v>
      </c>
      <c r="J390" t="s">
        <v>10</v>
      </c>
      <c r="K390" t="s">
        <v>8</v>
      </c>
      <c r="L390" t="s">
        <v>9</v>
      </c>
      <c r="M390" t="s">
        <v>11</v>
      </c>
      <c r="N390" t="s">
        <v>27</v>
      </c>
      <c r="O390" t="s">
        <v>25</v>
      </c>
      <c r="P390">
        <v>45</v>
      </c>
      <c r="Q390" t="s">
        <v>12</v>
      </c>
      <c r="R390" t="str">
        <f t="shared" si="40"/>
        <v>7_9__393_02/10/2023_2023_MonMon_OWC_W_PW_Sip_C_45_Nutrients</v>
      </c>
    </row>
    <row r="391" spans="1:18" x14ac:dyDescent="0.25">
      <c r="A391">
        <v>7</v>
      </c>
      <c r="B391">
        <v>11</v>
      </c>
      <c r="D391">
        <v>394</v>
      </c>
      <c r="E391" s="1">
        <v>44967</v>
      </c>
      <c r="F391" s="11">
        <f t="shared" si="39"/>
        <v>44967</v>
      </c>
      <c r="G391">
        <f t="shared" si="41"/>
        <v>2023</v>
      </c>
      <c r="H391">
        <f t="shared" si="42"/>
        <v>2</v>
      </c>
      <c r="I391">
        <f t="shared" si="35"/>
        <v>10</v>
      </c>
      <c r="J391" t="s">
        <v>10</v>
      </c>
      <c r="K391" t="s">
        <v>8</v>
      </c>
      <c r="L391" t="s">
        <v>14</v>
      </c>
      <c r="M391" t="s">
        <v>11</v>
      </c>
      <c r="N391" t="s">
        <v>15</v>
      </c>
      <c r="O391" t="s">
        <v>23</v>
      </c>
      <c r="P391">
        <v>10</v>
      </c>
      <c r="Q391" t="s">
        <v>12</v>
      </c>
      <c r="R391" t="str">
        <f t="shared" si="40"/>
        <v>7_11__394_02/10/2023_2023_MonMon_OWC_TR_PW_Lys_A_10_Nutrients</v>
      </c>
    </row>
    <row r="392" spans="1:18" x14ac:dyDescent="0.25">
      <c r="A392">
        <v>7</v>
      </c>
      <c r="B392">
        <v>12</v>
      </c>
      <c r="D392">
        <v>395</v>
      </c>
      <c r="E392" s="1">
        <v>44967</v>
      </c>
      <c r="F392" s="11">
        <f t="shared" si="39"/>
        <v>44967</v>
      </c>
      <c r="G392">
        <f t="shared" si="41"/>
        <v>2023</v>
      </c>
      <c r="H392">
        <f t="shared" si="42"/>
        <v>2</v>
      </c>
      <c r="I392">
        <f t="shared" si="35"/>
        <v>10</v>
      </c>
      <c r="J392" t="s">
        <v>10</v>
      </c>
      <c r="K392" t="s">
        <v>8</v>
      </c>
      <c r="L392" t="s">
        <v>14</v>
      </c>
      <c r="M392" t="s">
        <v>11</v>
      </c>
      <c r="N392" t="s">
        <v>15</v>
      </c>
      <c r="O392" t="s">
        <v>23</v>
      </c>
      <c r="P392">
        <v>20</v>
      </c>
      <c r="Q392" t="s">
        <v>12</v>
      </c>
      <c r="R392" t="str">
        <f t="shared" si="40"/>
        <v>7_12__395_02/10/2023_2023_MonMon_OWC_TR_PW_Lys_A_20_Nutrients</v>
      </c>
    </row>
    <row r="393" spans="1:18" x14ac:dyDescent="0.25">
      <c r="A393">
        <v>7</v>
      </c>
      <c r="B393">
        <v>13</v>
      </c>
      <c r="D393">
        <v>396</v>
      </c>
      <c r="E393" s="1">
        <v>44967</v>
      </c>
      <c r="F393" s="11">
        <f t="shared" si="39"/>
        <v>44967</v>
      </c>
      <c r="G393">
        <f t="shared" si="41"/>
        <v>2023</v>
      </c>
      <c r="H393">
        <f t="shared" si="42"/>
        <v>2</v>
      </c>
      <c r="I393">
        <f t="shared" si="35"/>
        <v>10</v>
      </c>
      <c r="J393" t="s">
        <v>10</v>
      </c>
      <c r="K393" t="s">
        <v>8</v>
      </c>
      <c r="L393" t="s">
        <v>14</v>
      </c>
      <c r="M393" t="s">
        <v>11</v>
      </c>
      <c r="N393" t="s">
        <v>15</v>
      </c>
      <c r="O393" t="s">
        <v>23</v>
      </c>
      <c r="P393">
        <v>45</v>
      </c>
      <c r="Q393" t="s">
        <v>12</v>
      </c>
      <c r="R393" t="str">
        <f t="shared" si="40"/>
        <v>7_13__396_02/10/2023_2023_MonMon_OWC_TR_PW_Lys_A_45_Nutrients</v>
      </c>
    </row>
    <row r="394" spans="1:18" x14ac:dyDescent="0.25">
      <c r="A394">
        <v>7</v>
      </c>
      <c r="B394">
        <v>14</v>
      </c>
      <c r="D394">
        <v>397</v>
      </c>
      <c r="E394" s="1">
        <v>44967</v>
      </c>
      <c r="F394" s="11">
        <f t="shared" si="39"/>
        <v>44967</v>
      </c>
      <c r="G394">
        <f t="shared" si="41"/>
        <v>2023</v>
      </c>
      <c r="H394">
        <f t="shared" si="42"/>
        <v>2</v>
      </c>
      <c r="I394">
        <f t="shared" si="35"/>
        <v>10</v>
      </c>
      <c r="J394" t="s">
        <v>10</v>
      </c>
      <c r="K394" t="s">
        <v>8</v>
      </c>
      <c r="L394" t="s">
        <v>14</v>
      </c>
      <c r="M394" t="s">
        <v>11</v>
      </c>
      <c r="N394" t="s">
        <v>15</v>
      </c>
      <c r="O394" t="s">
        <v>24</v>
      </c>
      <c r="P394">
        <v>10</v>
      </c>
      <c r="Q394" t="s">
        <v>12</v>
      </c>
      <c r="R394" t="str">
        <f t="shared" si="40"/>
        <v>7_14__397_02/10/2023_2023_MonMon_OWC_TR_PW_Lys_B_10_Nutrients</v>
      </c>
    </row>
    <row r="395" spans="1:18" x14ac:dyDescent="0.25">
      <c r="A395">
        <v>7</v>
      </c>
      <c r="B395">
        <v>15</v>
      </c>
      <c r="D395">
        <v>398</v>
      </c>
      <c r="E395" s="1">
        <v>44967</v>
      </c>
      <c r="F395" s="11">
        <f t="shared" si="39"/>
        <v>44967</v>
      </c>
      <c r="G395">
        <f t="shared" si="41"/>
        <v>2023</v>
      </c>
      <c r="H395">
        <f t="shared" si="42"/>
        <v>2</v>
      </c>
      <c r="I395">
        <f t="shared" si="35"/>
        <v>10</v>
      </c>
      <c r="J395" t="s">
        <v>10</v>
      </c>
      <c r="K395" t="s">
        <v>8</v>
      </c>
      <c r="L395" t="s">
        <v>14</v>
      </c>
      <c r="M395" t="s">
        <v>11</v>
      </c>
      <c r="N395" t="s">
        <v>15</v>
      </c>
      <c r="O395" t="s">
        <v>24</v>
      </c>
      <c r="P395">
        <v>20</v>
      </c>
      <c r="Q395" t="s">
        <v>12</v>
      </c>
      <c r="R395" t="str">
        <f t="shared" si="40"/>
        <v>7_15__398_02/10/2023_2023_MonMon_OWC_TR_PW_Lys_B_20_Nutrients</v>
      </c>
    </row>
    <row r="396" spans="1:18" x14ac:dyDescent="0.25">
      <c r="A396">
        <v>7</v>
      </c>
      <c r="B396">
        <v>16</v>
      </c>
      <c r="D396">
        <v>399</v>
      </c>
      <c r="E396" s="1">
        <v>44967</v>
      </c>
      <c r="F396" s="11">
        <f t="shared" si="39"/>
        <v>44967</v>
      </c>
      <c r="G396">
        <f t="shared" si="41"/>
        <v>2023</v>
      </c>
      <c r="H396">
        <f t="shared" si="42"/>
        <v>2</v>
      </c>
      <c r="I396">
        <f t="shared" si="35"/>
        <v>10</v>
      </c>
      <c r="J396" t="s">
        <v>10</v>
      </c>
      <c r="K396" t="s">
        <v>8</v>
      </c>
      <c r="L396" t="s">
        <v>14</v>
      </c>
      <c r="M396" t="s">
        <v>11</v>
      </c>
      <c r="N396" t="s">
        <v>15</v>
      </c>
      <c r="O396" t="s">
        <v>24</v>
      </c>
      <c r="P396">
        <v>45</v>
      </c>
      <c r="Q396" t="s">
        <v>12</v>
      </c>
      <c r="R396" t="str">
        <f t="shared" si="40"/>
        <v>7_16__399_02/10/2023_2023_MonMon_OWC_TR_PW_Lys_B_45_Nutrients</v>
      </c>
    </row>
    <row r="397" spans="1:18" x14ac:dyDescent="0.25">
      <c r="A397">
        <v>7</v>
      </c>
      <c r="B397">
        <v>17</v>
      </c>
      <c r="D397">
        <v>400</v>
      </c>
      <c r="E397" s="1">
        <v>44967</v>
      </c>
      <c r="F397" s="11">
        <f t="shared" si="39"/>
        <v>44967</v>
      </c>
      <c r="G397">
        <f t="shared" si="41"/>
        <v>2023</v>
      </c>
      <c r="H397">
        <f t="shared" si="42"/>
        <v>2</v>
      </c>
      <c r="I397">
        <f t="shared" si="35"/>
        <v>10</v>
      </c>
      <c r="J397" t="s">
        <v>10</v>
      </c>
      <c r="K397" t="s">
        <v>8</v>
      </c>
      <c r="L397" t="s">
        <v>14</v>
      </c>
      <c r="M397" t="s">
        <v>11</v>
      </c>
      <c r="N397" t="s">
        <v>15</v>
      </c>
      <c r="O397" t="s">
        <v>25</v>
      </c>
      <c r="P397">
        <v>10</v>
      </c>
      <c r="Q397" t="s">
        <v>12</v>
      </c>
      <c r="R397" t="str">
        <f t="shared" si="40"/>
        <v>7_17__400_02/10/2023_2023_MonMon_OWC_TR_PW_Lys_C_10_Nutrients</v>
      </c>
    </row>
    <row r="398" spans="1:18" x14ac:dyDescent="0.25">
      <c r="A398">
        <v>7</v>
      </c>
      <c r="B398">
        <v>18</v>
      </c>
      <c r="D398">
        <v>401</v>
      </c>
      <c r="E398" s="1">
        <v>44967</v>
      </c>
      <c r="F398" s="11">
        <f t="shared" si="39"/>
        <v>44967</v>
      </c>
      <c r="G398">
        <f t="shared" si="41"/>
        <v>2023</v>
      </c>
      <c r="H398">
        <f t="shared" si="42"/>
        <v>2</v>
      </c>
      <c r="I398">
        <f t="shared" si="35"/>
        <v>10</v>
      </c>
      <c r="J398" t="s">
        <v>10</v>
      </c>
      <c r="K398" t="s">
        <v>8</v>
      </c>
      <c r="L398" t="s">
        <v>14</v>
      </c>
      <c r="M398" t="s">
        <v>11</v>
      </c>
      <c r="N398" t="s">
        <v>15</v>
      </c>
      <c r="O398" t="s">
        <v>25</v>
      </c>
      <c r="P398">
        <v>20</v>
      </c>
      <c r="Q398" t="s">
        <v>12</v>
      </c>
      <c r="R398" t="str">
        <f t="shared" si="40"/>
        <v>7_18__401_02/10/2023_2023_MonMon_OWC_TR_PW_Lys_C_20_Nutrients</v>
      </c>
    </row>
    <row r="399" spans="1:18" x14ac:dyDescent="0.25">
      <c r="A399">
        <v>7</v>
      </c>
      <c r="B399">
        <v>19</v>
      </c>
      <c r="D399">
        <v>402</v>
      </c>
      <c r="E399" s="1">
        <v>44967</v>
      </c>
      <c r="F399" s="11">
        <f t="shared" si="39"/>
        <v>44967</v>
      </c>
      <c r="G399">
        <f t="shared" si="41"/>
        <v>2023</v>
      </c>
      <c r="H399">
        <f t="shared" si="42"/>
        <v>2</v>
      </c>
      <c r="I399">
        <f t="shared" si="35"/>
        <v>10</v>
      </c>
      <c r="J399" t="s">
        <v>10</v>
      </c>
      <c r="K399" t="s">
        <v>8</v>
      </c>
      <c r="L399" t="s">
        <v>14</v>
      </c>
      <c r="M399" t="s">
        <v>11</v>
      </c>
      <c r="N399" t="s">
        <v>15</v>
      </c>
      <c r="O399" t="s">
        <v>25</v>
      </c>
      <c r="P399">
        <v>45</v>
      </c>
      <c r="Q399" t="s">
        <v>12</v>
      </c>
      <c r="R399" t="str">
        <f t="shared" si="40"/>
        <v>7_19__402_02/10/2023_2023_MonMon_OWC_TR_PW_Lys_C_45_Nutrients</v>
      </c>
    </row>
    <row r="400" spans="1:18" x14ac:dyDescent="0.25">
      <c r="A400">
        <v>7</v>
      </c>
      <c r="B400">
        <v>21</v>
      </c>
      <c r="D400">
        <v>403</v>
      </c>
      <c r="E400" s="1">
        <v>44967</v>
      </c>
      <c r="F400" s="11">
        <f t="shared" si="39"/>
        <v>44967</v>
      </c>
      <c r="G400">
        <f t="shared" si="41"/>
        <v>2023</v>
      </c>
      <c r="H400">
        <f t="shared" si="42"/>
        <v>2</v>
      </c>
      <c r="I400">
        <f t="shared" si="35"/>
        <v>10</v>
      </c>
      <c r="J400" t="s">
        <v>10</v>
      </c>
      <c r="K400" t="s">
        <v>8</v>
      </c>
      <c r="L400" t="s">
        <v>17</v>
      </c>
      <c r="M400" t="s">
        <v>11</v>
      </c>
      <c r="N400" t="s">
        <v>15</v>
      </c>
      <c r="O400" t="s">
        <v>23</v>
      </c>
      <c r="P400">
        <v>10</v>
      </c>
      <c r="Q400" t="s">
        <v>12</v>
      </c>
      <c r="R400" t="str">
        <f t="shared" si="40"/>
        <v>7_21__403_02/10/2023_2023_MonMon_OWC_UP_PW_Lys_A_10_Nutrients</v>
      </c>
    </row>
    <row r="401" spans="1:18" x14ac:dyDescent="0.25">
      <c r="A401">
        <v>7</v>
      </c>
      <c r="B401">
        <v>23</v>
      </c>
      <c r="D401">
        <v>404</v>
      </c>
      <c r="E401" s="1">
        <v>44967</v>
      </c>
      <c r="F401" s="11">
        <f t="shared" si="39"/>
        <v>44967</v>
      </c>
      <c r="G401">
        <f t="shared" si="41"/>
        <v>2023</v>
      </c>
      <c r="H401">
        <f t="shared" si="42"/>
        <v>2</v>
      </c>
      <c r="I401">
        <f t="shared" si="35"/>
        <v>10</v>
      </c>
      <c r="J401" t="s">
        <v>10</v>
      </c>
      <c r="K401" t="s">
        <v>8</v>
      </c>
      <c r="L401" t="s">
        <v>17</v>
      </c>
      <c r="M401" t="s">
        <v>11</v>
      </c>
      <c r="N401" t="s">
        <v>15</v>
      </c>
      <c r="O401" t="s">
        <v>23</v>
      </c>
      <c r="P401">
        <v>45</v>
      </c>
      <c r="Q401" t="s">
        <v>12</v>
      </c>
      <c r="R401" t="str">
        <f t="shared" si="40"/>
        <v>7_23__404_02/10/2023_2023_MonMon_OWC_UP_PW_Lys_A_45_Nutrients</v>
      </c>
    </row>
    <row r="402" spans="1:18" x14ac:dyDescent="0.25">
      <c r="A402">
        <v>7</v>
      </c>
      <c r="B402">
        <v>24</v>
      </c>
      <c r="D402">
        <v>405</v>
      </c>
      <c r="E402" s="1">
        <v>44967</v>
      </c>
      <c r="F402" s="11">
        <f t="shared" si="39"/>
        <v>44967</v>
      </c>
      <c r="G402">
        <f t="shared" si="41"/>
        <v>2023</v>
      </c>
      <c r="H402">
        <f t="shared" si="42"/>
        <v>2</v>
      </c>
      <c r="I402">
        <f t="shared" si="35"/>
        <v>10</v>
      </c>
      <c r="J402" t="s">
        <v>10</v>
      </c>
      <c r="K402" t="s">
        <v>8</v>
      </c>
      <c r="L402" t="s">
        <v>17</v>
      </c>
      <c r="M402" t="s">
        <v>11</v>
      </c>
      <c r="N402" t="s">
        <v>15</v>
      </c>
      <c r="O402" t="s">
        <v>24</v>
      </c>
      <c r="P402">
        <v>10</v>
      </c>
      <c r="Q402" t="s">
        <v>12</v>
      </c>
      <c r="R402" t="str">
        <f t="shared" si="40"/>
        <v>7_24__405_02/10/2023_2023_MonMon_OWC_UP_PW_Lys_B_10_Nutrients</v>
      </c>
    </row>
    <row r="403" spans="1:18" x14ac:dyDescent="0.25">
      <c r="A403">
        <v>7</v>
      </c>
      <c r="B403">
        <v>25</v>
      </c>
      <c r="D403">
        <v>406</v>
      </c>
      <c r="E403" s="1">
        <v>44967</v>
      </c>
      <c r="F403" s="11">
        <f t="shared" si="39"/>
        <v>44967</v>
      </c>
      <c r="G403">
        <f t="shared" si="41"/>
        <v>2023</v>
      </c>
      <c r="H403">
        <f t="shared" si="42"/>
        <v>2</v>
      </c>
      <c r="I403">
        <f t="shared" si="35"/>
        <v>10</v>
      </c>
      <c r="J403" t="s">
        <v>10</v>
      </c>
      <c r="K403" t="s">
        <v>8</v>
      </c>
      <c r="L403" t="s">
        <v>17</v>
      </c>
      <c r="M403" t="s">
        <v>11</v>
      </c>
      <c r="N403" t="s">
        <v>15</v>
      </c>
      <c r="O403" t="s">
        <v>24</v>
      </c>
      <c r="P403">
        <v>20</v>
      </c>
      <c r="Q403" t="s">
        <v>12</v>
      </c>
      <c r="R403" t="str">
        <f t="shared" si="40"/>
        <v>7_25__406_02/10/2023_2023_MonMon_OWC_UP_PW_Lys_B_20_Nutrients</v>
      </c>
    </row>
    <row r="404" spans="1:18" x14ac:dyDescent="0.25">
      <c r="A404">
        <v>7</v>
      </c>
      <c r="B404">
        <v>27</v>
      </c>
      <c r="D404">
        <v>407</v>
      </c>
      <c r="E404" s="1">
        <v>44967</v>
      </c>
      <c r="F404" s="11">
        <f t="shared" si="39"/>
        <v>44967</v>
      </c>
      <c r="G404">
        <f t="shared" si="41"/>
        <v>2023</v>
      </c>
      <c r="H404">
        <f t="shared" si="42"/>
        <v>2</v>
      </c>
      <c r="I404">
        <f t="shared" si="35"/>
        <v>10</v>
      </c>
      <c r="J404" t="s">
        <v>10</v>
      </c>
      <c r="K404" t="s">
        <v>8</v>
      </c>
      <c r="L404" t="s">
        <v>17</v>
      </c>
      <c r="M404" t="s">
        <v>11</v>
      </c>
      <c r="N404" t="s">
        <v>15</v>
      </c>
      <c r="O404" t="s">
        <v>25</v>
      </c>
      <c r="P404">
        <v>10</v>
      </c>
      <c r="Q404" t="s">
        <v>12</v>
      </c>
      <c r="R404" t="str">
        <f t="shared" si="40"/>
        <v>7_27__407_02/10/2023_2023_MonMon_OWC_UP_PW_Lys_C_10_Nutrients</v>
      </c>
    </row>
    <row r="405" spans="1:18" x14ac:dyDescent="0.25">
      <c r="A405">
        <v>7</v>
      </c>
      <c r="B405">
        <v>28</v>
      </c>
      <c r="D405">
        <v>408</v>
      </c>
      <c r="E405" s="1">
        <v>44967</v>
      </c>
      <c r="F405" s="11">
        <f t="shared" si="39"/>
        <v>44967</v>
      </c>
      <c r="G405">
        <f t="shared" si="41"/>
        <v>2023</v>
      </c>
      <c r="H405">
        <f t="shared" si="42"/>
        <v>2</v>
      </c>
      <c r="I405">
        <f t="shared" si="35"/>
        <v>10</v>
      </c>
      <c r="J405" t="s">
        <v>10</v>
      </c>
      <c r="K405" t="s">
        <v>8</v>
      </c>
      <c r="L405" t="s">
        <v>17</v>
      </c>
      <c r="M405" t="s">
        <v>11</v>
      </c>
      <c r="N405" t="s">
        <v>15</v>
      </c>
      <c r="O405" t="s">
        <v>25</v>
      </c>
      <c r="P405">
        <v>20</v>
      </c>
      <c r="Q405" t="s">
        <v>12</v>
      </c>
      <c r="R405" t="str">
        <f t="shared" si="40"/>
        <v>7_28__408_02/10/2023_2023_MonMon_OWC_UP_PW_Lys_C_20_Nutrients</v>
      </c>
    </row>
    <row r="406" spans="1:18" x14ac:dyDescent="0.25">
      <c r="A406">
        <v>7</v>
      </c>
      <c r="B406">
        <v>29</v>
      </c>
      <c r="D406">
        <v>409</v>
      </c>
      <c r="E406" s="1">
        <v>44967</v>
      </c>
      <c r="F406" s="11">
        <f t="shared" si="39"/>
        <v>44967</v>
      </c>
      <c r="G406">
        <f t="shared" si="41"/>
        <v>2023</v>
      </c>
      <c r="H406">
        <f t="shared" si="42"/>
        <v>2</v>
      </c>
      <c r="I406">
        <f t="shared" si="35"/>
        <v>10</v>
      </c>
      <c r="J406" t="s">
        <v>10</v>
      </c>
      <c r="K406" t="s">
        <v>8</v>
      </c>
      <c r="L406" t="s">
        <v>17</v>
      </c>
      <c r="M406" t="s">
        <v>11</v>
      </c>
      <c r="N406" t="s">
        <v>15</v>
      </c>
      <c r="O406" t="s">
        <v>25</v>
      </c>
      <c r="P406">
        <v>45</v>
      </c>
      <c r="Q406" t="s">
        <v>12</v>
      </c>
      <c r="R406" t="str">
        <f t="shared" si="40"/>
        <v>7_29__409_02/10/2023_2023_MonMon_OWC_UP_PW_Lys_C_45_Nutrients</v>
      </c>
    </row>
    <row r="407" spans="1:18" x14ac:dyDescent="0.25">
      <c r="A407">
        <v>7</v>
      </c>
      <c r="B407">
        <v>31</v>
      </c>
      <c r="D407">
        <v>410</v>
      </c>
      <c r="E407" s="1">
        <v>44967</v>
      </c>
      <c r="F407" s="11">
        <f t="shared" si="39"/>
        <v>44967</v>
      </c>
      <c r="G407">
        <f t="shared" si="41"/>
        <v>2023</v>
      </c>
      <c r="H407">
        <f t="shared" si="42"/>
        <v>2</v>
      </c>
      <c r="I407">
        <f t="shared" si="35"/>
        <v>10</v>
      </c>
      <c r="J407" t="s">
        <v>10</v>
      </c>
      <c r="K407" t="s">
        <v>8</v>
      </c>
      <c r="L407" t="s">
        <v>14</v>
      </c>
      <c r="M407" t="s">
        <v>26</v>
      </c>
      <c r="N407" t="s">
        <v>18</v>
      </c>
      <c r="O407">
        <v>1</v>
      </c>
      <c r="Q407" t="s">
        <v>12</v>
      </c>
      <c r="R407" t="str">
        <f t="shared" si="40"/>
        <v>7_31__410_02/10/2023_2023_MonMon_OWC_TR_RZ_Rz_1__Nutrients</v>
      </c>
    </row>
    <row r="408" spans="1:18" x14ac:dyDescent="0.25">
      <c r="A408">
        <v>7</v>
      </c>
      <c r="B408">
        <v>32</v>
      </c>
      <c r="D408">
        <v>411</v>
      </c>
      <c r="E408" s="1">
        <v>44967</v>
      </c>
      <c r="F408" s="11">
        <f t="shared" si="39"/>
        <v>44967</v>
      </c>
      <c r="G408">
        <f t="shared" si="41"/>
        <v>2023</v>
      </c>
      <c r="H408">
        <f t="shared" si="42"/>
        <v>2</v>
      </c>
      <c r="I408">
        <f t="shared" si="35"/>
        <v>10</v>
      </c>
      <c r="J408" t="s">
        <v>10</v>
      </c>
      <c r="K408" t="s">
        <v>8</v>
      </c>
      <c r="L408" t="s">
        <v>14</v>
      </c>
      <c r="M408" t="s">
        <v>26</v>
      </c>
      <c r="N408" t="s">
        <v>18</v>
      </c>
      <c r="O408">
        <v>2</v>
      </c>
      <c r="Q408" t="s">
        <v>12</v>
      </c>
      <c r="R408" t="str">
        <f t="shared" si="40"/>
        <v>7_32__411_02/10/2023_2023_MonMon_OWC_TR_RZ_Rz_2__Nutrients</v>
      </c>
    </row>
    <row r="409" spans="1:18" x14ac:dyDescent="0.25">
      <c r="A409">
        <v>7</v>
      </c>
      <c r="B409">
        <v>33</v>
      </c>
      <c r="D409">
        <v>412</v>
      </c>
      <c r="E409" s="1">
        <v>44967</v>
      </c>
      <c r="F409" s="11">
        <f t="shared" si="39"/>
        <v>44967</v>
      </c>
      <c r="G409">
        <f t="shared" si="41"/>
        <v>2023</v>
      </c>
      <c r="H409">
        <f t="shared" si="42"/>
        <v>2</v>
      </c>
      <c r="I409">
        <f t="shared" si="35"/>
        <v>10</v>
      </c>
      <c r="J409" t="s">
        <v>10</v>
      </c>
      <c r="K409" t="s">
        <v>8</v>
      </c>
      <c r="L409" t="s">
        <v>14</v>
      </c>
      <c r="M409" t="s">
        <v>26</v>
      </c>
      <c r="N409" t="s">
        <v>18</v>
      </c>
      <c r="O409">
        <v>3</v>
      </c>
      <c r="Q409" t="s">
        <v>12</v>
      </c>
      <c r="R409" t="str">
        <f t="shared" si="40"/>
        <v>7_33__412_02/10/2023_2023_MonMon_OWC_TR_RZ_Rz_3__Nutrients</v>
      </c>
    </row>
    <row r="410" spans="1:18" x14ac:dyDescent="0.25">
      <c r="A410">
        <v>7</v>
      </c>
      <c r="B410">
        <v>34</v>
      </c>
      <c r="D410">
        <v>413</v>
      </c>
      <c r="E410" s="1">
        <v>44967</v>
      </c>
      <c r="F410" s="11">
        <f t="shared" si="39"/>
        <v>44967</v>
      </c>
      <c r="G410">
        <f t="shared" si="41"/>
        <v>2023</v>
      </c>
      <c r="H410">
        <f t="shared" si="42"/>
        <v>2</v>
      </c>
      <c r="I410">
        <f t="shared" si="35"/>
        <v>10</v>
      </c>
      <c r="J410" t="s">
        <v>10</v>
      </c>
      <c r="K410" t="s">
        <v>8</v>
      </c>
      <c r="L410" t="s">
        <v>14</v>
      </c>
      <c r="M410" t="s">
        <v>26</v>
      </c>
      <c r="N410" t="s">
        <v>18</v>
      </c>
      <c r="O410">
        <v>4</v>
      </c>
      <c r="Q410" t="s">
        <v>12</v>
      </c>
      <c r="R410" t="str">
        <f t="shared" si="40"/>
        <v>7_34__413_02/10/2023_2023_MonMon_OWC_TR_RZ_Rz_4__Nutrients</v>
      </c>
    </row>
    <row r="411" spans="1:18" x14ac:dyDescent="0.25">
      <c r="A411">
        <v>7</v>
      </c>
      <c r="B411">
        <v>35</v>
      </c>
      <c r="D411">
        <v>414</v>
      </c>
      <c r="E411" s="1">
        <v>44967</v>
      </c>
      <c r="F411" s="11">
        <f t="shared" si="39"/>
        <v>44967</v>
      </c>
      <c r="G411">
        <f t="shared" si="41"/>
        <v>2023</v>
      </c>
      <c r="H411">
        <f t="shared" si="42"/>
        <v>2</v>
      </c>
      <c r="I411">
        <f t="shared" si="35"/>
        <v>10</v>
      </c>
      <c r="J411" t="s">
        <v>10</v>
      </c>
      <c r="K411" t="s">
        <v>8</v>
      </c>
      <c r="L411" t="s">
        <v>14</v>
      </c>
      <c r="M411" t="s">
        <v>26</v>
      </c>
      <c r="N411" t="s">
        <v>18</v>
      </c>
      <c r="O411">
        <v>5</v>
      </c>
      <c r="Q411" t="s">
        <v>12</v>
      </c>
      <c r="R411" t="str">
        <f t="shared" si="40"/>
        <v>7_35__414_02/10/2023_2023_MonMon_OWC_TR_RZ_Rz_5__Nutrients</v>
      </c>
    </row>
    <row r="412" spans="1:18" x14ac:dyDescent="0.25">
      <c r="A412">
        <v>7</v>
      </c>
      <c r="B412">
        <v>36</v>
      </c>
      <c r="D412">
        <v>415</v>
      </c>
      <c r="E412" s="1">
        <v>44967</v>
      </c>
      <c r="F412" s="11">
        <f t="shared" si="39"/>
        <v>44967</v>
      </c>
      <c r="G412">
        <f t="shared" si="41"/>
        <v>2023</v>
      </c>
      <c r="H412">
        <f t="shared" si="42"/>
        <v>2</v>
      </c>
      <c r="I412">
        <f t="shared" si="35"/>
        <v>10</v>
      </c>
      <c r="J412" t="s">
        <v>10</v>
      </c>
      <c r="K412" t="s">
        <v>8</v>
      </c>
      <c r="L412" t="s">
        <v>14</v>
      </c>
      <c r="M412" t="s">
        <v>26</v>
      </c>
      <c r="N412" t="s">
        <v>18</v>
      </c>
      <c r="O412">
        <v>6</v>
      </c>
      <c r="Q412" t="s">
        <v>12</v>
      </c>
      <c r="R412" t="str">
        <f t="shared" si="40"/>
        <v>7_36__415_02/10/2023_2023_MonMon_OWC_TR_RZ_Rz_6__Nutrients</v>
      </c>
    </row>
    <row r="413" spans="1:18" x14ac:dyDescent="0.25">
      <c r="A413">
        <v>7</v>
      </c>
      <c r="B413">
        <v>37</v>
      </c>
      <c r="D413">
        <v>416</v>
      </c>
      <c r="E413" s="1">
        <v>44967</v>
      </c>
      <c r="F413" s="11">
        <f t="shared" si="39"/>
        <v>44967</v>
      </c>
      <c r="G413">
        <f t="shared" si="41"/>
        <v>2023</v>
      </c>
      <c r="H413">
        <f t="shared" si="42"/>
        <v>2</v>
      </c>
      <c r="I413">
        <f t="shared" si="35"/>
        <v>10</v>
      </c>
      <c r="J413" t="s">
        <v>10</v>
      </c>
      <c r="K413" t="s">
        <v>8</v>
      </c>
      <c r="L413" t="s">
        <v>14</v>
      </c>
      <c r="M413" t="s">
        <v>26</v>
      </c>
      <c r="N413" t="s">
        <v>18</v>
      </c>
      <c r="O413">
        <v>7</v>
      </c>
      <c r="Q413" t="s">
        <v>12</v>
      </c>
      <c r="R413" t="str">
        <f t="shared" si="40"/>
        <v>7_37__416_02/10/2023_2023_MonMon_OWC_TR_RZ_Rz_7__Nutrients</v>
      </c>
    </row>
    <row r="414" spans="1:18" x14ac:dyDescent="0.25">
      <c r="A414">
        <v>7</v>
      </c>
      <c r="B414">
        <v>38</v>
      </c>
      <c r="D414">
        <v>417</v>
      </c>
      <c r="E414" s="1">
        <v>44967</v>
      </c>
      <c r="F414" s="11">
        <f t="shared" si="39"/>
        <v>44967</v>
      </c>
      <c r="G414">
        <f t="shared" si="41"/>
        <v>2023</v>
      </c>
      <c r="H414">
        <f t="shared" si="42"/>
        <v>2</v>
      </c>
      <c r="I414">
        <f t="shared" si="35"/>
        <v>10</v>
      </c>
      <c r="J414" t="s">
        <v>10</v>
      </c>
      <c r="K414" t="s">
        <v>8</v>
      </c>
      <c r="L414" t="s">
        <v>14</v>
      </c>
      <c r="M414" t="s">
        <v>26</v>
      </c>
      <c r="N414" t="s">
        <v>18</v>
      </c>
      <c r="O414">
        <v>8</v>
      </c>
      <c r="Q414" t="s">
        <v>12</v>
      </c>
      <c r="R414" t="str">
        <f t="shared" si="40"/>
        <v>7_38__417_02/10/2023_2023_MonMon_OWC_TR_RZ_Rz_8__Nutrients</v>
      </c>
    </row>
    <row r="415" spans="1:18" x14ac:dyDescent="0.25">
      <c r="A415">
        <v>7</v>
      </c>
      <c r="B415">
        <v>41</v>
      </c>
      <c r="D415">
        <v>418</v>
      </c>
      <c r="E415" s="1">
        <v>44967</v>
      </c>
      <c r="F415" s="11">
        <f t="shared" si="39"/>
        <v>44967</v>
      </c>
      <c r="G415">
        <f t="shared" si="41"/>
        <v>2023</v>
      </c>
      <c r="H415">
        <f t="shared" si="42"/>
        <v>2</v>
      </c>
      <c r="I415">
        <f t="shared" si="35"/>
        <v>10</v>
      </c>
      <c r="J415" t="s">
        <v>10</v>
      </c>
      <c r="K415" t="s">
        <v>8</v>
      </c>
      <c r="L415" t="s">
        <v>17</v>
      </c>
      <c r="M415" t="s">
        <v>26</v>
      </c>
      <c r="N415" t="s">
        <v>18</v>
      </c>
      <c r="O415">
        <v>1</v>
      </c>
      <c r="Q415" t="s">
        <v>12</v>
      </c>
      <c r="R415" t="str">
        <f t="shared" si="40"/>
        <v>7_41__418_02/10/2023_2023_MonMon_OWC_UP_RZ_Rz_1__Nutrients</v>
      </c>
    </row>
    <row r="416" spans="1:18" x14ac:dyDescent="0.25">
      <c r="A416">
        <v>7</v>
      </c>
      <c r="B416">
        <v>42</v>
      </c>
      <c r="D416">
        <v>419</v>
      </c>
      <c r="E416" s="1">
        <v>44967</v>
      </c>
      <c r="F416" s="11">
        <f t="shared" si="39"/>
        <v>44967</v>
      </c>
      <c r="G416">
        <f t="shared" si="41"/>
        <v>2023</v>
      </c>
      <c r="H416">
        <f t="shared" si="42"/>
        <v>2</v>
      </c>
      <c r="I416">
        <f t="shared" si="35"/>
        <v>10</v>
      </c>
      <c r="J416" t="s">
        <v>10</v>
      </c>
      <c r="K416" t="s">
        <v>8</v>
      </c>
      <c r="L416" t="s">
        <v>17</v>
      </c>
      <c r="M416" t="s">
        <v>26</v>
      </c>
      <c r="N416" t="s">
        <v>18</v>
      </c>
      <c r="O416">
        <v>2</v>
      </c>
      <c r="Q416" t="s">
        <v>12</v>
      </c>
      <c r="R416" t="str">
        <f t="shared" si="40"/>
        <v>7_42__419_02/10/2023_2023_MonMon_OWC_UP_RZ_Rz_2__Nutrients</v>
      </c>
    </row>
    <row r="417" spans="1:18" x14ac:dyDescent="0.25">
      <c r="A417">
        <v>7</v>
      </c>
      <c r="B417">
        <v>43</v>
      </c>
      <c r="D417">
        <v>420</v>
      </c>
      <c r="E417" s="1">
        <v>44967</v>
      </c>
      <c r="F417" s="11">
        <f t="shared" si="39"/>
        <v>44967</v>
      </c>
      <c r="G417">
        <f t="shared" si="41"/>
        <v>2023</v>
      </c>
      <c r="H417">
        <f t="shared" si="42"/>
        <v>2</v>
      </c>
      <c r="I417">
        <f t="shared" si="35"/>
        <v>10</v>
      </c>
      <c r="J417" t="s">
        <v>10</v>
      </c>
      <c r="K417" t="s">
        <v>8</v>
      </c>
      <c r="L417" t="s">
        <v>17</v>
      </c>
      <c r="M417" t="s">
        <v>26</v>
      </c>
      <c r="N417" t="s">
        <v>18</v>
      </c>
      <c r="O417">
        <v>3</v>
      </c>
      <c r="Q417" t="s">
        <v>12</v>
      </c>
      <c r="R417" t="str">
        <f t="shared" si="40"/>
        <v>7_43__420_02/10/2023_2023_MonMon_OWC_UP_RZ_Rz_3__Nutrients</v>
      </c>
    </row>
    <row r="418" spans="1:18" x14ac:dyDescent="0.25">
      <c r="A418">
        <v>7</v>
      </c>
      <c r="B418">
        <v>44</v>
      </c>
      <c r="D418">
        <v>421</v>
      </c>
      <c r="E418" s="1">
        <v>44967</v>
      </c>
      <c r="F418" s="11">
        <f t="shared" si="39"/>
        <v>44967</v>
      </c>
      <c r="G418">
        <f t="shared" si="41"/>
        <v>2023</v>
      </c>
      <c r="H418">
        <f t="shared" si="42"/>
        <v>2</v>
      </c>
      <c r="I418">
        <f t="shared" si="35"/>
        <v>10</v>
      </c>
      <c r="J418" t="s">
        <v>10</v>
      </c>
      <c r="K418" t="s">
        <v>8</v>
      </c>
      <c r="L418" t="s">
        <v>17</v>
      </c>
      <c r="M418" t="s">
        <v>26</v>
      </c>
      <c r="N418" t="s">
        <v>18</v>
      </c>
      <c r="O418">
        <v>4</v>
      </c>
      <c r="Q418" t="s">
        <v>12</v>
      </c>
      <c r="R418" t="str">
        <f t="shared" si="40"/>
        <v>7_44__421_02/10/2023_2023_MonMon_OWC_UP_RZ_Rz_4__Nutrients</v>
      </c>
    </row>
    <row r="419" spans="1:18" x14ac:dyDescent="0.25">
      <c r="A419">
        <v>7</v>
      </c>
      <c r="B419">
        <v>45</v>
      </c>
      <c r="D419">
        <v>422</v>
      </c>
      <c r="E419" s="1">
        <v>44967</v>
      </c>
      <c r="F419" s="11">
        <f t="shared" si="39"/>
        <v>44967</v>
      </c>
      <c r="G419">
        <f t="shared" si="41"/>
        <v>2023</v>
      </c>
      <c r="H419">
        <f t="shared" si="42"/>
        <v>2</v>
      </c>
      <c r="I419">
        <f t="shared" si="35"/>
        <v>10</v>
      </c>
      <c r="J419" t="s">
        <v>10</v>
      </c>
      <c r="K419" t="s">
        <v>8</v>
      </c>
      <c r="L419" t="s">
        <v>17</v>
      </c>
      <c r="M419" t="s">
        <v>26</v>
      </c>
      <c r="N419" t="s">
        <v>18</v>
      </c>
      <c r="O419">
        <v>5</v>
      </c>
      <c r="Q419" t="s">
        <v>12</v>
      </c>
      <c r="R419" t="str">
        <f t="shared" si="40"/>
        <v>7_45__422_02/10/2023_2023_MonMon_OWC_UP_RZ_Rz_5__Nutrients</v>
      </c>
    </row>
    <row r="420" spans="1:18" x14ac:dyDescent="0.25">
      <c r="A420">
        <v>7</v>
      </c>
      <c r="B420">
        <v>46</v>
      </c>
      <c r="D420">
        <v>423</v>
      </c>
      <c r="E420" s="1">
        <v>44967</v>
      </c>
      <c r="F420" s="11">
        <f t="shared" si="39"/>
        <v>44967</v>
      </c>
      <c r="G420">
        <f t="shared" si="41"/>
        <v>2023</v>
      </c>
      <c r="H420">
        <f t="shared" si="42"/>
        <v>2</v>
      </c>
      <c r="I420">
        <f t="shared" si="35"/>
        <v>10</v>
      </c>
      <c r="J420" t="s">
        <v>10</v>
      </c>
      <c r="K420" t="s">
        <v>8</v>
      </c>
      <c r="L420" t="s">
        <v>17</v>
      </c>
      <c r="M420" t="s">
        <v>26</v>
      </c>
      <c r="N420" t="s">
        <v>18</v>
      </c>
      <c r="O420">
        <v>6</v>
      </c>
      <c r="Q420" t="s">
        <v>12</v>
      </c>
      <c r="R420" t="str">
        <f t="shared" si="40"/>
        <v>7_46__423_02/10/2023_2023_MonMon_OWC_UP_RZ_Rz_6__Nutrients</v>
      </c>
    </row>
    <row r="421" spans="1:18" x14ac:dyDescent="0.25">
      <c r="A421">
        <v>7</v>
      </c>
      <c r="B421">
        <v>48</v>
      </c>
      <c r="D421">
        <v>424</v>
      </c>
      <c r="E421" s="1">
        <v>44967</v>
      </c>
      <c r="F421" s="11">
        <f t="shared" si="39"/>
        <v>44967</v>
      </c>
      <c r="G421">
        <f t="shared" si="41"/>
        <v>2023</v>
      </c>
      <c r="H421">
        <f t="shared" si="42"/>
        <v>2</v>
      </c>
      <c r="I421">
        <f t="shared" si="35"/>
        <v>10</v>
      </c>
      <c r="J421" t="s">
        <v>10</v>
      </c>
      <c r="K421" t="s">
        <v>8</v>
      </c>
      <c r="L421" t="s">
        <v>17</v>
      </c>
      <c r="M421" t="s">
        <v>26</v>
      </c>
      <c r="N421" t="s">
        <v>18</v>
      </c>
      <c r="O421">
        <v>8</v>
      </c>
      <c r="Q421" t="s">
        <v>12</v>
      </c>
      <c r="R421" t="str">
        <f t="shared" si="40"/>
        <v>7_48__424_02/10/2023_2023_MonMon_OWC_UP_RZ_Rz_8__Nutrients</v>
      </c>
    </row>
    <row r="422" spans="1:18" x14ac:dyDescent="0.25">
      <c r="A422">
        <v>7</v>
      </c>
      <c r="B422">
        <v>49</v>
      </c>
      <c r="D422">
        <v>425</v>
      </c>
      <c r="E422" s="1">
        <v>44967</v>
      </c>
      <c r="F422" s="11">
        <f t="shared" si="39"/>
        <v>44967</v>
      </c>
      <c r="G422">
        <f t="shared" si="41"/>
        <v>2023</v>
      </c>
      <c r="H422">
        <f t="shared" si="42"/>
        <v>2</v>
      </c>
      <c r="I422">
        <f t="shared" si="35"/>
        <v>10</v>
      </c>
      <c r="J422" t="s">
        <v>10</v>
      </c>
      <c r="K422" t="s">
        <v>8</v>
      </c>
      <c r="M422" t="s">
        <v>29</v>
      </c>
      <c r="Q422" t="s">
        <v>12</v>
      </c>
      <c r="R422" t="str">
        <f t="shared" si="40"/>
        <v>7_49__425_02/10/2023_2023_MonMon_OWC__Stream____Nutrients</v>
      </c>
    </row>
    <row r="423" spans="1:18" x14ac:dyDescent="0.25">
      <c r="A423">
        <v>7</v>
      </c>
      <c r="B423">
        <v>51</v>
      </c>
      <c r="D423">
        <v>426</v>
      </c>
      <c r="E423" s="1">
        <v>44978</v>
      </c>
      <c r="F423" s="11">
        <f t="shared" si="39"/>
        <v>44978</v>
      </c>
      <c r="G423">
        <f t="shared" si="41"/>
        <v>2023</v>
      </c>
      <c r="H423">
        <f t="shared" si="42"/>
        <v>2</v>
      </c>
      <c r="I423">
        <f t="shared" si="35"/>
        <v>21</v>
      </c>
      <c r="J423" t="s">
        <v>10</v>
      </c>
      <c r="K423" t="s">
        <v>16</v>
      </c>
      <c r="L423" t="s">
        <v>9</v>
      </c>
      <c r="M423" t="s">
        <v>11</v>
      </c>
      <c r="N423" t="s">
        <v>27</v>
      </c>
      <c r="O423" t="s">
        <v>23</v>
      </c>
      <c r="P423">
        <v>10</v>
      </c>
      <c r="Q423" t="s">
        <v>12</v>
      </c>
      <c r="R423" t="str">
        <f t="shared" si="40"/>
        <v>7_51__426_02/21/2023_2023_MonMon_CRC_W_PW_Sip_A_10_Nutrients</v>
      </c>
    </row>
    <row r="424" spans="1:18" x14ac:dyDescent="0.25">
      <c r="A424">
        <v>7</v>
      </c>
      <c r="B424">
        <v>52</v>
      </c>
      <c r="D424">
        <v>427</v>
      </c>
      <c r="E424" s="1">
        <v>44978</v>
      </c>
      <c r="F424" s="11">
        <f t="shared" si="39"/>
        <v>44978</v>
      </c>
      <c r="G424">
        <f t="shared" si="41"/>
        <v>2023</v>
      </c>
      <c r="H424">
        <f t="shared" si="42"/>
        <v>2</v>
      </c>
      <c r="I424">
        <f t="shared" si="35"/>
        <v>21</v>
      </c>
      <c r="J424" t="s">
        <v>10</v>
      </c>
      <c r="K424" t="s">
        <v>16</v>
      </c>
      <c r="L424" t="s">
        <v>9</v>
      </c>
      <c r="M424" t="s">
        <v>11</v>
      </c>
      <c r="N424" t="s">
        <v>27</v>
      </c>
      <c r="O424" t="s">
        <v>23</v>
      </c>
      <c r="P424">
        <v>20</v>
      </c>
      <c r="Q424" t="s">
        <v>12</v>
      </c>
      <c r="R424" t="str">
        <f t="shared" si="40"/>
        <v>7_52__427_02/21/2023_2023_MonMon_CRC_W_PW_Sip_A_20_Nutrients</v>
      </c>
    </row>
    <row r="425" spans="1:18" x14ac:dyDescent="0.25">
      <c r="A425">
        <v>7</v>
      </c>
      <c r="B425">
        <v>53</v>
      </c>
      <c r="D425">
        <v>428</v>
      </c>
      <c r="E425" s="1">
        <v>44978</v>
      </c>
      <c r="F425" s="11">
        <f t="shared" si="39"/>
        <v>44978</v>
      </c>
      <c r="G425">
        <f t="shared" si="41"/>
        <v>2023</v>
      </c>
      <c r="H425">
        <f t="shared" si="42"/>
        <v>2</v>
      </c>
      <c r="I425">
        <f t="shared" si="35"/>
        <v>21</v>
      </c>
      <c r="J425" t="s">
        <v>10</v>
      </c>
      <c r="K425" t="s">
        <v>16</v>
      </c>
      <c r="L425" t="s">
        <v>9</v>
      </c>
      <c r="M425" t="s">
        <v>11</v>
      </c>
      <c r="N425" t="s">
        <v>27</v>
      </c>
      <c r="O425" t="s">
        <v>23</v>
      </c>
      <c r="P425">
        <v>45</v>
      </c>
      <c r="Q425" t="s">
        <v>12</v>
      </c>
      <c r="R425" t="str">
        <f t="shared" si="40"/>
        <v>7_53__428_02/21/2023_2023_MonMon_CRC_W_PW_Sip_A_45_Nutrients</v>
      </c>
    </row>
    <row r="426" spans="1:18" x14ac:dyDescent="0.25">
      <c r="A426">
        <v>7</v>
      </c>
      <c r="B426">
        <v>54</v>
      </c>
      <c r="D426">
        <v>429</v>
      </c>
      <c r="E426" s="1">
        <v>44978</v>
      </c>
      <c r="F426" s="11">
        <f t="shared" si="39"/>
        <v>44978</v>
      </c>
      <c r="G426">
        <f t="shared" si="41"/>
        <v>2023</v>
      </c>
      <c r="H426">
        <f t="shared" si="42"/>
        <v>2</v>
      </c>
      <c r="I426">
        <f t="shared" si="35"/>
        <v>21</v>
      </c>
      <c r="J426" t="s">
        <v>10</v>
      </c>
      <c r="K426" t="s">
        <v>16</v>
      </c>
      <c r="L426" t="s">
        <v>9</v>
      </c>
      <c r="M426" t="s">
        <v>11</v>
      </c>
      <c r="N426" t="s">
        <v>27</v>
      </c>
      <c r="O426" t="s">
        <v>24</v>
      </c>
      <c r="P426">
        <v>10</v>
      </c>
      <c r="Q426" t="s">
        <v>12</v>
      </c>
      <c r="R426" t="str">
        <f t="shared" si="40"/>
        <v>7_54__429_02/21/2023_2023_MonMon_CRC_W_PW_Sip_B_10_Nutrients</v>
      </c>
    </row>
    <row r="427" spans="1:18" x14ac:dyDescent="0.25">
      <c r="A427">
        <v>7</v>
      </c>
      <c r="B427">
        <v>55</v>
      </c>
      <c r="D427">
        <v>430</v>
      </c>
      <c r="E427" s="1">
        <v>44978</v>
      </c>
      <c r="F427" s="11">
        <f t="shared" si="39"/>
        <v>44978</v>
      </c>
      <c r="G427">
        <f t="shared" si="41"/>
        <v>2023</v>
      </c>
      <c r="H427">
        <f t="shared" si="42"/>
        <v>2</v>
      </c>
      <c r="I427">
        <f t="shared" si="35"/>
        <v>21</v>
      </c>
      <c r="J427" t="s">
        <v>10</v>
      </c>
      <c r="K427" t="s">
        <v>16</v>
      </c>
      <c r="L427" t="s">
        <v>9</v>
      </c>
      <c r="M427" t="s">
        <v>11</v>
      </c>
      <c r="N427" t="s">
        <v>27</v>
      </c>
      <c r="O427" t="s">
        <v>24</v>
      </c>
      <c r="P427">
        <v>20</v>
      </c>
      <c r="Q427" t="s">
        <v>12</v>
      </c>
      <c r="R427" t="str">
        <f t="shared" si="40"/>
        <v>7_55__430_02/21/2023_2023_MonMon_CRC_W_PW_Sip_B_20_Nutrients</v>
      </c>
    </row>
    <row r="428" spans="1:18" x14ac:dyDescent="0.25">
      <c r="A428">
        <v>7</v>
      </c>
      <c r="B428">
        <v>56</v>
      </c>
      <c r="D428">
        <v>431</v>
      </c>
      <c r="E428" s="1">
        <v>44978</v>
      </c>
      <c r="F428" s="11">
        <f t="shared" si="39"/>
        <v>44978</v>
      </c>
      <c r="G428">
        <f t="shared" si="41"/>
        <v>2023</v>
      </c>
      <c r="H428">
        <f t="shared" si="42"/>
        <v>2</v>
      </c>
      <c r="I428">
        <f t="shared" si="35"/>
        <v>21</v>
      </c>
      <c r="J428" t="s">
        <v>10</v>
      </c>
      <c r="K428" t="s">
        <v>16</v>
      </c>
      <c r="L428" t="s">
        <v>9</v>
      </c>
      <c r="M428" t="s">
        <v>11</v>
      </c>
      <c r="N428" t="s">
        <v>27</v>
      </c>
      <c r="O428" t="s">
        <v>24</v>
      </c>
      <c r="P428">
        <v>45</v>
      </c>
      <c r="Q428" t="s">
        <v>12</v>
      </c>
      <c r="R428" t="str">
        <f t="shared" si="40"/>
        <v>7_56__431_02/21/2023_2023_MonMon_CRC_W_PW_Sip_B_45_Nutrients</v>
      </c>
    </row>
    <row r="429" spans="1:18" x14ac:dyDescent="0.25">
      <c r="A429">
        <v>7</v>
      </c>
      <c r="B429">
        <v>57</v>
      </c>
      <c r="D429">
        <v>432</v>
      </c>
      <c r="E429" s="1">
        <v>44978</v>
      </c>
      <c r="F429" s="11">
        <f t="shared" si="39"/>
        <v>44978</v>
      </c>
      <c r="G429">
        <f t="shared" si="41"/>
        <v>2023</v>
      </c>
      <c r="H429">
        <f t="shared" si="42"/>
        <v>2</v>
      </c>
      <c r="I429">
        <f t="shared" si="35"/>
        <v>21</v>
      </c>
      <c r="J429" t="s">
        <v>10</v>
      </c>
      <c r="K429" t="s">
        <v>16</v>
      </c>
      <c r="L429" t="s">
        <v>9</v>
      </c>
      <c r="M429" t="s">
        <v>11</v>
      </c>
      <c r="N429" t="s">
        <v>27</v>
      </c>
      <c r="O429" t="s">
        <v>25</v>
      </c>
      <c r="P429">
        <v>10</v>
      </c>
      <c r="Q429" t="s">
        <v>12</v>
      </c>
      <c r="R429" t="str">
        <f t="shared" si="40"/>
        <v>7_57__432_02/21/2023_2023_MonMon_CRC_W_PW_Sip_C_10_Nutrients</v>
      </c>
    </row>
    <row r="430" spans="1:18" x14ac:dyDescent="0.25">
      <c r="A430">
        <v>7</v>
      </c>
      <c r="B430">
        <v>58</v>
      </c>
      <c r="D430">
        <v>433</v>
      </c>
      <c r="E430" s="1">
        <v>44978</v>
      </c>
      <c r="F430" s="11">
        <f t="shared" si="39"/>
        <v>44978</v>
      </c>
      <c r="G430">
        <f t="shared" si="41"/>
        <v>2023</v>
      </c>
      <c r="H430">
        <f t="shared" si="42"/>
        <v>2</v>
      </c>
      <c r="I430">
        <f t="shared" si="35"/>
        <v>21</v>
      </c>
      <c r="J430" t="s">
        <v>10</v>
      </c>
      <c r="K430" t="s">
        <v>16</v>
      </c>
      <c r="L430" t="s">
        <v>9</v>
      </c>
      <c r="M430" t="s">
        <v>11</v>
      </c>
      <c r="N430" t="s">
        <v>27</v>
      </c>
      <c r="O430" t="s">
        <v>25</v>
      </c>
      <c r="P430">
        <v>20</v>
      </c>
      <c r="Q430" t="s">
        <v>12</v>
      </c>
      <c r="R430" t="str">
        <f t="shared" si="40"/>
        <v>7_58__433_02/21/2023_2023_MonMon_CRC_W_PW_Sip_C_20_Nutrients</v>
      </c>
    </row>
    <row r="431" spans="1:18" x14ac:dyDescent="0.25">
      <c r="A431">
        <v>7</v>
      </c>
      <c r="B431">
        <v>59</v>
      </c>
      <c r="D431">
        <v>434</v>
      </c>
      <c r="E431" s="1">
        <v>44978</v>
      </c>
      <c r="F431" s="11">
        <f t="shared" si="39"/>
        <v>44978</v>
      </c>
      <c r="G431">
        <f t="shared" si="41"/>
        <v>2023</v>
      </c>
      <c r="H431">
        <f t="shared" si="42"/>
        <v>2</v>
      </c>
      <c r="I431">
        <f t="shared" si="35"/>
        <v>21</v>
      </c>
      <c r="J431" t="s">
        <v>10</v>
      </c>
      <c r="K431" t="s">
        <v>16</v>
      </c>
      <c r="L431" t="s">
        <v>9</v>
      </c>
      <c r="M431" t="s">
        <v>11</v>
      </c>
      <c r="N431" t="s">
        <v>27</v>
      </c>
      <c r="O431" t="s">
        <v>25</v>
      </c>
      <c r="P431">
        <v>45</v>
      </c>
      <c r="Q431" t="s">
        <v>12</v>
      </c>
      <c r="R431" t="str">
        <f t="shared" si="40"/>
        <v>7_59__434_02/21/2023_2023_MonMon_CRC_W_PW_Sip_C_45_Nutrients</v>
      </c>
    </row>
    <row r="432" spans="1:18" x14ac:dyDescent="0.25">
      <c r="A432">
        <v>7</v>
      </c>
      <c r="B432">
        <v>61</v>
      </c>
      <c r="D432">
        <v>435</v>
      </c>
      <c r="E432" s="1">
        <v>44978</v>
      </c>
      <c r="F432" s="11">
        <f t="shared" si="39"/>
        <v>44978</v>
      </c>
      <c r="G432">
        <f t="shared" si="41"/>
        <v>2023</v>
      </c>
      <c r="H432">
        <f t="shared" si="42"/>
        <v>2</v>
      </c>
      <c r="I432">
        <f t="shared" si="35"/>
        <v>21</v>
      </c>
      <c r="J432" t="s">
        <v>10</v>
      </c>
      <c r="K432" t="s">
        <v>16</v>
      </c>
      <c r="L432" t="s">
        <v>14</v>
      </c>
      <c r="M432" t="s">
        <v>11</v>
      </c>
      <c r="N432" t="s">
        <v>15</v>
      </c>
      <c r="O432" t="s">
        <v>23</v>
      </c>
      <c r="P432">
        <v>10</v>
      </c>
      <c r="Q432" t="s">
        <v>12</v>
      </c>
      <c r="R432" t="str">
        <f t="shared" si="40"/>
        <v>7_61__435_02/21/2023_2023_MonMon_CRC_TR_PW_Lys_A_10_Nutrients</v>
      </c>
    </row>
    <row r="433" spans="1:18" x14ac:dyDescent="0.25">
      <c r="A433">
        <v>7</v>
      </c>
      <c r="B433">
        <v>62</v>
      </c>
      <c r="D433">
        <v>436</v>
      </c>
      <c r="E433" s="1">
        <v>44978</v>
      </c>
      <c r="F433" s="11">
        <f t="shared" si="39"/>
        <v>44978</v>
      </c>
      <c r="G433">
        <f t="shared" si="41"/>
        <v>2023</v>
      </c>
      <c r="H433">
        <f t="shared" si="42"/>
        <v>2</v>
      </c>
      <c r="I433">
        <f t="shared" si="35"/>
        <v>21</v>
      </c>
      <c r="J433" t="s">
        <v>10</v>
      </c>
      <c r="K433" t="s">
        <v>16</v>
      </c>
      <c r="L433" t="s">
        <v>14</v>
      </c>
      <c r="M433" t="s">
        <v>11</v>
      </c>
      <c r="N433" t="s">
        <v>15</v>
      </c>
      <c r="O433" t="s">
        <v>23</v>
      </c>
      <c r="P433">
        <v>20</v>
      </c>
      <c r="Q433" t="s">
        <v>12</v>
      </c>
      <c r="R433" t="str">
        <f t="shared" si="40"/>
        <v>7_62__436_02/21/2023_2023_MonMon_CRC_TR_PW_Lys_A_20_Nutrients</v>
      </c>
    </row>
    <row r="434" spans="1:18" x14ac:dyDescent="0.25">
      <c r="A434">
        <v>7</v>
      </c>
      <c r="B434">
        <v>63</v>
      </c>
      <c r="D434">
        <v>437</v>
      </c>
      <c r="E434" s="1">
        <v>44978</v>
      </c>
      <c r="F434" s="11">
        <f t="shared" si="39"/>
        <v>44978</v>
      </c>
      <c r="G434">
        <f t="shared" si="41"/>
        <v>2023</v>
      </c>
      <c r="H434">
        <f t="shared" si="42"/>
        <v>2</v>
      </c>
      <c r="I434">
        <f t="shared" si="35"/>
        <v>21</v>
      </c>
      <c r="J434" t="s">
        <v>10</v>
      </c>
      <c r="K434" t="s">
        <v>16</v>
      </c>
      <c r="L434" t="s">
        <v>14</v>
      </c>
      <c r="M434" t="s">
        <v>11</v>
      </c>
      <c r="N434" t="s">
        <v>15</v>
      </c>
      <c r="O434" t="s">
        <v>23</v>
      </c>
      <c r="P434">
        <v>45</v>
      </c>
      <c r="Q434" t="s">
        <v>12</v>
      </c>
      <c r="R434" t="str">
        <f t="shared" si="40"/>
        <v>7_63__437_02/21/2023_2023_MonMon_CRC_TR_PW_Lys_A_45_Nutrients</v>
      </c>
    </row>
    <row r="435" spans="1:18" x14ac:dyDescent="0.25">
      <c r="A435">
        <v>7</v>
      </c>
      <c r="B435">
        <v>64</v>
      </c>
      <c r="D435">
        <v>438</v>
      </c>
      <c r="E435" s="1">
        <v>44978</v>
      </c>
      <c r="F435" s="11">
        <f t="shared" si="39"/>
        <v>44978</v>
      </c>
      <c r="G435">
        <f t="shared" si="41"/>
        <v>2023</v>
      </c>
      <c r="H435">
        <f t="shared" si="42"/>
        <v>2</v>
      </c>
      <c r="I435">
        <f t="shared" si="35"/>
        <v>21</v>
      </c>
      <c r="J435" t="s">
        <v>10</v>
      </c>
      <c r="K435" t="s">
        <v>16</v>
      </c>
      <c r="L435" t="s">
        <v>14</v>
      </c>
      <c r="M435" t="s">
        <v>11</v>
      </c>
      <c r="N435" t="s">
        <v>15</v>
      </c>
      <c r="O435" t="s">
        <v>24</v>
      </c>
      <c r="P435">
        <v>10</v>
      </c>
      <c r="Q435" t="s">
        <v>12</v>
      </c>
      <c r="R435" t="str">
        <f t="shared" si="40"/>
        <v>7_64__438_02/21/2023_2023_MonMon_CRC_TR_PW_Lys_B_10_Nutrients</v>
      </c>
    </row>
    <row r="436" spans="1:18" x14ac:dyDescent="0.25">
      <c r="A436">
        <v>7</v>
      </c>
      <c r="B436">
        <v>65</v>
      </c>
      <c r="D436">
        <v>439</v>
      </c>
      <c r="E436" s="1">
        <v>44978</v>
      </c>
      <c r="F436" s="11">
        <f t="shared" si="39"/>
        <v>44978</v>
      </c>
      <c r="G436">
        <f t="shared" si="41"/>
        <v>2023</v>
      </c>
      <c r="H436">
        <f t="shared" si="42"/>
        <v>2</v>
      </c>
      <c r="I436">
        <f t="shared" si="35"/>
        <v>21</v>
      </c>
      <c r="J436" t="s">
        <v>10</v>
      </c>
      <c r="K436" t="s">
        <v>16</v>
      </c>
      <c r="L436" t="s">
        <v>14</v>
      </c>
      <c r="M436" t="s">
        <v>11</v>
      </c>
      <c r="N436" t="s">
        <v>15</v>
      </c>
      <c r="O436" t="s">
        <v>24</v>
      </c>
      <c r="P436">
        <v>20</v>
      </c>
      <c r="Q436" t="s">
        <v>12</v>
      </c>
      <c r="R436" t="str">
        <f t="shared" si="40"/>
        <v>7_65__439_02/21/2023_2023_MonMon_CRC_TR_PW_Lys_B_20_Nutrients</v>
      </c>
    </row>
    <row r="437" spans="1:18" x14ac:dyDescent="0.25">
      <c r="A437">
        <v>7</v>
      </c>
      <c r="B437">
        <v>66</v>
      </c>
      <c r="D437">
        <v>440</v>
      </c>
      <c r="E437" s="1">
        <v>44978</v>
      </c>
      <c r="F437" s="11">
        <f t="shared" si="39"/>
        <v>44978</v>
      </c>
      <c r="G437">
        <f t="shared" si="41"/>
        <v>2023</v>
      </c>
      <c r="H437">
        <f t="shared" si="42"/>
        <v>2</v>
      </c>
      <c r="I437">
        <f t="shared" si="35"/>
        <v>21</v>
      </c>
      <c r="J437" t="s">
        <v>10</v>
      </c>
      <c r="K437" t="s">
        <v>16</v>
      </c>
      <c r="L437" t="s">
        <v>14</v>
      </c>
      <c r="M437" t="s">
        <v>11</v>
      </c>
      <c r="N437" t="s">
        <v>15</v>
      </c>
      <c r="O437" t="s">
        <v>24</v>
      </c>
      <c r="P437">
        <v>45</v>
      </c>
      <c r="Q437" t="s">
        <v>12</v>
      </c>
      <c r="R437" t="str">
        <f t="shared" si="40"/>
        <v>7_66__440_02/21/2023_2023_MonMon_CRC_TR_PW_Lys_B_45_Nutrients</v>
      </c>
    </row>
    <row r="438" spans="1:18" x14ac:dyDescent="0.25">
      <c r="A438">
        <v>7</v>
      </c>
      <c r="B438">
        <v>67</v>
      </c>
      <c r="D438">
        <v>441</v>
      </c>
      <c r="E438" s="1">
        <v>44978</v>
      </c>
      <c r="F438" s="11">
        <f t="shared" si="39"/>
        <v>44978</v>
      </c>
      <c r="G438">
        <f t="shared" si="41"/>
        <v>2023</v>
      </c>
      <c r="H438">
        <f t="shared" si="42"/>
        <v>2</v>
      </c>
      <c r="I438">
        <f t="shared" si="35"/>
        <v>21</v>
      </c>
      <c r="J438" t="s">
        <v>10</v>
      </c>
      <c r="K438" t="s">
        <v>16</v>
      </c>
      <c r="L438" t="s">
        <v>14</v>
      </c>
      <c r="M438" t="s">
        <v>11</v>
      </c>
      <c r="N438" t="s">
        <v>15</v>
      </c>
      <c r="O438" t="s">
        <v>25</v>
      </c>
      <c r="P438">
        <v>10</v>
      </c>
      <c r="Q438" t="s">
        <v>12</v>
      </c>
      <c r="R438" t="str">
        <f t="shared" si="40"/>
        <v>7_67__441_02/21/2023_2023_MonMon_CRC_TR_PW_Lys_C_10_Nutrients</v>
      </c>
    </row>
    <row r="439" spans="1:18" x14ac:dyDescent="0.25">
      <c r="A439">
        <v>7</v>
      </c>
      <c r="B439">
        <v>68</v>
      </c>
      <c r="D439">
        <v>442</v>
      </c>
      <c r="E439" s="1">
        <v>44978</v>
      </c>
      <c r="F439" s="11">
        <f t="shared" si="39"/>
        <v>44978</v>
      </c>
      <c r="G439">
        <f t="shared" si="41"/>
        <v>2023</v>
      </c>
      <c r="H439">
        <f t="shared" si="42"/>
        <v>2</v>
      </c>
      <c r="I439">
        <f t="shared" si="35"/>
        <v>21</v>
      </c>
      <c r="J439" t="s">
        <v>10</v>
      </c>
      <c r="K439" t="s">
        <v>16</v>
      </c>
      <c r="L439" t="s">
        <v>14</v>
      </c>
      <c r="M439" t="s">
        <v>11</v>
      </c>
      <c r="N439" t="s">
        <v>15</v>
      </c>
      <c r="O439" t="s">
        <v>25</v>
      </c>
      <c r="P439">
        <v>20</v>
      </c>
      <c r="Q439" t="s">
        <v>12</v>
      </c>
      <c r="R439" t="str">
        <f t="shared" si="40"/>
        <v>7_68__442_02/21/2023_2023_MonMon_CRC_TR_PW_Lys_C_20_Nutrients</v>
      </c>
    </row>
    <row r="440" spans="1:18" x14ac:dyDescent="0.25">
      <c r="A440">
        <v>7</v>
      </c>
      <c r="B440">
        <v>69</v>
      </c>
      <c r="D440">
        <v>443</v>
      </c>
      <c r="E440" s="1">
        <v>44978</v>
      </c>
      <c r="F440" s="11">
        <f t="shared" si="39"/>
        <v>44978</v>
      </c>
      <c r="G440">
        <f t="shared" si="41"/>
        <v>2023</v>
      </c>
      <c r="H440">
        <f t="shared" si="42"/>
        <v>2</v>
      </c>
      <c r="I440">
        <f t="shared" si="35"/>
        <v>21</v>
      </c>
      <c r="J440" t="s">
        <v>10</v>
      </c>
      <c r="K440" t="s">
        <v>16</v>
      </c>
      <c r="L440" t="s">
        <v>14</v>
      </c>
      <c r="M440" t="s">
        <v>11</v>
      </c>
      <c r="N440" t="s">
        <v>15</v>
      </c>
      <c r="O440" t="s">
        <v>25</v>
      </c>
      <c r="P440">
        <v>45</v>
      </c>
      <c r="Q440" t="s">
        <v>12</v>
      </c>
      <c r="R440" t="str">
        <f t="shared" si="40"/>
        <v>7_69__443_02/21/2023_2023_MonMon_CRC_TR_PW_Lys_C_45_Nutrients</v>
      </c>
    </row>
    <row r="441" spans="1:18" x14ac:dyDescent="0.25">
      <c r="A441">
        <v>7</v>
      </c>
      <c r="B441">
        <v>71</v>
      </c>
      <c r="D441">
        <v>444</v>
      </c>
      <c r="E441" s="1">
        <v>44978</v>
      </c>
      <c r="F441" s="11">
        <f t="shared" si="39"/>
        <v>44978</v>
      </c>
      <c r="G441">
        <f t="shared" si="41"/>
        <v>2023</v>
      </c>
      <c r="H441">
        <f t="shared" si="42"/>
        <v>2</v>
      </c>
      <c r="I441">
        <f t="shared" si="35"/>
        <v>21</v>
      </c>
      <c r="J441" t="s">
        <v>10</v>
      </c>
      <c r="K441" t="s">
        <v>16</v>
      </c>
      <c r="L441" t="s">
        <v>17</v>
      </c>
      <c r="M441" t="s">
        <v>11</v>
      </c>
      <c r="N441" t="s">
        <v>15</v>
      </c>
      <c r="O441" t="s">
        <v>23</v>
      </c>
      <c r="P441">
        <v>10</v>
      </c>
      <c r="Q441" t="s">
        <v>12</v>
      </c>
      <c r="R441" t="str">
        <f t="shared" si="40"/>
        <v>7_71__444_02/21/2023_2023_MonMon_CRC_UP_PW_Lys_A_10_Nutrients</v>
      </c>
    </row>
    <row r="442" spans="1:18" x14ac:dyDescent="0.25">
      <c r="A442">
        <v>7</v>
      </c>
      <c r="B442">
        <v>72</v>
      </c>
      <c r="D442">
        <v>445</v>
      </c>
      <c r="E442" s="1">
        <v>44978</v>
      </c>
      <c r="F442" s="11">
        <f t="shared" si="39"/>
        <v>44978</v>
      </c>
      <c r="G442">
        <f t="shared" si="41"/>
        <v>2023</v>
      </c>
      <c r="H442">
        <f t="shared" si="42"/>
        <v>2</v>
      </c>
      <c r="I442">
        <f t="shared" si="35"/>
        <v>21</v>
      </c>
      <c r="J442" t="s">
        <v>10</v>
      </c>
      <c r="K442" t="s">
        <v>16</v>
      </c>
      <c r="L442" t="s">
        <v>17</v>
      </c>
      <c r="M442" t="s">
        <v>11</v>
      </c>
      <c r="N442" t="s">
        <v>15</v>
      </c>
      <c r="O442" t="s">
        <v>23</v>
      </c>
      <c r="P442">
        <v>20</v>
      </c>
      <c r="Q442" t="s">
        <v>12</v>
      </c>
      <c r="R442" t="str">
        <f t="shared" si="40"/>
        <v>7_72__445_02/21/2023_2023_MonMon_CRC_UP_PW_Lys_A_20_Nutrients</v>
      </c>
    </row>
    <row r="443" spans="1:18" x14ac:dyDescent="0.25">
      <c r="A443">
        <v>7</v>
      </c>
      <c r="B443">
        <v>74</v>
      </c>
      <c r="D443">
        <v>446</v>
      </c>
      <c r="E443" s="1">
        <v>44978</v>
      </c>
      <c r="F443" s="11">
        <f t="shared" si="39"/>
        <v>44978</v>
      </c>
      <c r="G443">
        <f t="shared" si="41"/>
        <v>2023</v>
      </c>
      <c r="H443">
        <f t="shared" si="42"/>
        <v>2</v>
      </c>
      <c r="I443">
        <f t="shared" ref="I443:I506" si="43">DAY(E443)</f>
        <v>21</v>
      </c>
      <c r="J443" t="s">
        <v>10</v>
      </c>
      <c r="K443" t="s">
        <v>16</v>
      </c>
      <c r="L443" t="s">
        <v>17</v>
      </c>
      <c r="M443" t="s">
        <v>11</v>
      </c>
      <c r="N443" t="s">
        <v>15</v>
      </c>
      <c r="O443" t="s">
        <v>24</v>
      </c>
      <c r="P443">
        <v>10</v>
      </c>
      <c r="Q443" t="s">
        <v>12</v>
      </c>
      <c r="R443" t="str">
        <f t="shared" si="40"/>
        <v>7_74__446_02/21/2023_2023_MonMon_CRC_UP_PW_Lys_B_10_Nutrients</v>
      </c>
    </row>
    <row r="444" spans="1:18" x14ac:dyDescent="0.25">
      <c r="A444">
        <v>7</v>
      </c>
      <c r="B444">
        <v>77</v>
      </c>
      <c r="D444">
        <v>447</v>
      </c>
      <c r="E444" s="1">
        <v>44978</v>
      </c>
      <c r="F444" s="11">
        <f t="shared" si="39"/>
        <v>44978</v>
      </c>
      <c r="G444">
        <f t="shared" si="41"/>
        <v>2023</v>
      </c>
      <c r="H444">
        <f t="shared" si="42"/>
        <v>2</v>
      </c>
      <c r="I444">
        <f t="shared" si="43"/>
        <v>21</v>
      </c>
      <c r="J444" t="s">
        <v>10</v>
      </c>
      <c r="K444" t="s">
        <v>16</v>
      </c>
      <c r="L444" t="s">
        <v>17</v>
      </c>
      <c r="M444" t="s">
        <v>11</v>
      </c>
      <c r="N444" t="s">
        <v>15</v>
      </c>
      <c r="O444" t="s">
        <v>25</v>
      </c>
      <c r="P444">
        <v>10</v>
      </c>
      <c r="Q444" t="s">
        <v>12</v>
      </c>
      <c r="R444" t="str">
        <f t="shared" si="40"/>
        <v>7_77__447_02/21/2023_2023_MonMon_CRC_UP_PW_Lys_C_10_Nutrients</v>
      </c>
    </row>
    <row r="445" spans="1:18" s="6" customFormat="1" x14ac:dyDescent="0.25">
      <c r="A445" s="6">
        <v>7</v>
      </c>
      <c r="B445" s="6">
        <v>78</v>
      </c>
      <c r="D445" s="6">
        <v>448</v>
      </c>
      <c r="E445" s="7">
        <v>44978</v>
      </c>
      <c r="F445" s="11">
        <f t="shared" si="39"/>
        <v>44978</v>
      </c>
      <c r="G445" s="6">
        <f t="shared" si="41"/>
        <v>2023</v>
      </c>
      <c r="H445" s="6">
        <f t="shared" si="42"/>
        <v>2</v>
      </c>
      <c r="I445" s="6">
        <f t="shared" si="43"/>
        <v>21</v>
      </c>
      <c r="J445" s="6" t="s">
        <v>10</v>
      </c>
      <c r="K445" s="6" t="s">
        <v>16</v>
      </c>
      <c r="M445" s="6" t="s">
        <v>28</v>
      </c>
      <c r="O445" s="6" t="s">
        <v>23</v>
      </c>
      <c r="Q445" s="6" t="s">
        <v>12</v>
      </c>
      <c r="R445" t="str">
        <f t="shared" si="40"/>
        <v>7_78__448_02/21/2023_2023_MonMon_CRC__OW__A__Nutrients</v>
      </c>
    </row>
    <row r="446" spans="1:18" s="6" customFormat="1" x14ac:dyDescent="0.25">
      <c r="A446" s="6">
        <v>7</v>
      </c>
      <c r="B446" s="6">
        <v>79</v>
      </c>
      <c r="D446" s="6">
        <v>449</v>
      </c>
      <c r="E446" s="7">
        <v>44978</v>
      </c>
      <c r="F446" s="11">
        <f t="shared" si="39"/>
        <v>44978</v>
      </c>
      <c r="G446" s="6">
        <f t="shared" si="41"/>
        <v>2023</v>
      </c>
      <c r="H446" s="6">
        <f t="shared" si="42"/>
        <v>2</v>
      </c>
      <c r="I446" s="6">
        <f t="shared" si="43"/>
        <v>21</v>
      </c>
      <c r="J446" s="6" t="s">
        <v>10</v>
      </c>
      <c r="K446" s="6" t="s">
        <v>16</v>
      </c>
      <c r="M446" s="6" t="s">
        <v>28</v>
      </c>
      <c r="O446" s="6" t="s">
        <v>24</v>
      </c>
      <c r="Q446" s="6" t="s">
        <v>12</v>
      </c>
      <c r="R446" t="str">
        <f t="shared" si="40"/>
        <v>7_79__449_02/21/2023_2023_MonMon_CRC__OW__B__Nutrients</v>
      </c>
    </row>
    <row r="447" spans="1:18" s="6" customFormat="1" x14ac:dyDescent="0.25">
      <c r="A447" s="6">
        <v>7</v>
      </c>
      <c r="B447" s="6">
        <v>80</v>
      </c>
      <c r="D447" s="6">
        <v>450</v>
      </c>
      <c r="E447" s="7">
        <v>44978</v>
      </c>
      <c r="F447" s="11">
        <f t="shared" si="39"/>
        <v>44978</v>
      </c>
      <c r="G447" s="6">
        <f t="shared" si="41"/>
        <v>2023</v>
      </c>
      <c r="H447" s="6">
        <f t="shared" si="42"/>
        <v>2</v>
      </c>
      <c r="I447" s="6">
        <f t="shared" si="43"/>
        <v>21</v>
      </c>
      <c r="J447" s="6" t="s">
        <v>10</v>
      </c>
      <c r="K447" s="6" t="s">
        <v>16</v>
      </c>
      <c r="M447" s="6" t="s">
        <v>28</v>
      </c>
      <c r="O447" s="6" t="s">
        <v>25</v>
      </c>
      <c r="Q447" s="6" t="s">
        <v>12</v>
      </c>
      <c r="R447" t="str">
        <f t="shared" si="40"/>
        <v>7_80__450_02/21/2023_2023_MonMon_CRC__OW__C__Nutrients</v>
      </c>
    </row>
    <row r="448" spans="1:18" x14ac:dyDescent="0.25">
      <c r="A448">
        <v>7</v>
      </c>
      <c r="B448">
        <v>80</v>
      </c>
      <c r="D448">
        <v>451</v>
      </c>
      <c r="E448" s="1">
        <v>44978</v>
      </c>
      <c r="F448" s="11">
        <f t="shared" si="39"/>
        <v>44978</v>
      </c>
      <c r="G448">
        <f t="shared" si="41"/>
        <v>2023</v>
      </c>
      <c r="H448">
        <f t="shared" si="42"/>
        <v>2</v>
      </c>
      <c r="I448">
        <f t="shared" si="43"/>
        <v>21</v>
      </c>
      <c r="J448" t="s">
        <v>10</v>
      </c>
      <c r="K448" t="s">
        <v>16</v>
      </c>
      <c r="L448" t="s">
        <v>14</v>
      </c>
      <c r="M448" t="s">
        <v>26</v>
      </c>
      <c r="N448" t="s">
        <v>18</v>
      </c>
      <c r="O448">
        <v>1</v>
      </c>
      <c r="Q448" t="s">
        <v>12</v>
      </c>
      <c r="R448" t="str">
        <f t="shared" si="40"/>
        <v>7_80__451_02/21/2023_2023_MonMon_CRC_TR_RZ_Rz_1__Nutrients</v>
      </c>
    </row>
    <row r="449" spans="1:18" x14ac:dyDescent="0.25">
      <c r="A449">
        <v>7</v>
      </c>
      <c r="B449">
        <v>81</v>
      </c>
      <c r="D449">
        <v>452</v>
      </c>
      <c r="E449" s="1">
        <v>44978</v>
      </c>
      <c r="F449" s="11">
        <f t="shared" si="39"/>
        <v>44978</v>
      </c>
      <c r="G449">
        <f t="shared" si="41"/>
        <v>2023</v>
      </c>
      <c r="H449">
        <f t="shared" si="42"/>
        <v>2</v>
      </c>
      <c r="I449">
        <f t="shared" si="43"/>
        <v>21</v>
      </c>
      <c r="J449" t="s">
        <v>10</v>
      </c>
      <c r="K449" t="s">
        <v>16</v>
      </c>
      <c r="L449" t="s">
        <v>14</v>
      </c>
      <c r="M449" t="s">
        <v>26</v>
      </c>
      <c r="N449" t="s">
        <v>18</v>
      </c>
      <c r="O449">
        <v>2</v>
      </c>
      <c r="Q449" t="s">
        <v>12</v>
      </c>
      <c r="R449" t="str">
        <f t="shared" si="40"/>
        <v>7_81__452_02/21/2023_2023_MonMon_CRC_TR_RZ_Rz_2__Nutrients</v>
      </c>
    </row>
    <row r="450" spans="1:18" x14ac:dyDescent="0.25">
      <c r="A450">
        <v>7</v>
      </c>
      <c r="B450">
        <v>83</v>
      </c>
      <c r="D450">
        <v>453</v>
      </c>
      <c r="E450" s="1">
        <v>44978</v>
      </c>
      <c r="F450" s="11">
        <f t="shared" si="39"/>
        <v>44978</v>
      </c>
      <c r="G450">
        <f t="shared" si="41"/>
        <v>2023</v>
      </c>
      <c r="H450">
        <f t="shared" si="42"/>
        <v>2</v>
      </c>
      <c r="I450">
        <f t="shared" si="43"/>
        <v>21</v>
      </c>
      <c r="J450" t="s">
        <v>10</v>
      </c>
      <c r="K450" t="s">
        <v>16</v>
      </c>
      <c r="L450" t="s">
        <v>14</v>
      </c>
      <c r="M450" t="s">
        <v>26</v>
      </c>
      <c r="N450" t="s">
        <v>18</v>
      </c>
      <c r="O450">
        <v>3</v>
      </c>
      <c r="Q450" t="s">
        <v>12</v>
      </c>
      <c r="R450" t="str">
        <f t="shared" si="40"/>
        <v>7_83__453_02/21/2023_2023_MonMon_CRC_TR_RZ_Rz_3__Nutrients</v>
      </c>
    </row>
    <row r="451" spans="1:18" x14ac:dyDescent="0.25">
      <c r="A451">
        <v>7</v>
      </c>
      <c r="B451">
        <v>85</v>
      </c>
      <c r="D451">
        <v>454</v>
      </c>
      <c r="E451" s="1">
        <v>44978</v>
      </c>
      <c r="F451" s="11">
        <f t="shared" ref="F451:F514" si="44">E451</f>
        <v>44978</v>
      </c>
      <c r="G451">
        <f t="shared" si="41"/>
        <v>2023</v>
      </c>
      <c r="H451">
        <f t="shared" si="42"/>
        <v>2</v>
      </c>
      <c r="I451">
        <f t="shared" si="43"/>
        <v>21</v>
      </c>
      <c r="J451" t="s">
        <v>10</v>
      </c>
      <c r="K451" t="s">
        <v>16</v>
      </c>
      <c r="L451" t="s">
        <v>14</v>
      </c>
      <c r="M451" t="s">
        <v>26</v>
      </c>
      <c r="N451" t="s">
        <v>18</v>
      </c>
      <c r="O451">
        <v>5</v>
      </c>
      <c r="Q451" t="s">
        <v>12</v>
      </c>
      <c r="R451" t="str">
        <f t="shared" ref="R451:R514" si="45">CONCATENATE(A451,"_",B451,"_", C451,"_",D451,"_",TEXT(E451, "mm/dd/yyyy"),"_",G451,"_",J451,"_",K451,"_",L451,"_",M451,"_",N451,"_",O451,"_",P451,"_",Q451)</f>
        <v>7_85__454_02/21/2023_2023_MonMon_CRC_TR_RZ_Rz_5__Nutrients</v>
      </c>
    </row>
    <row r="452" spans="1:18" x14ac:dyDescent="0.25">
      <c r="A452">
        <v>7</v>
      </c>
      <c r="B452">
        <v>86</v>
      </c>
      <c r="D452">
        <v>455</v>
      </c>
      <c r="E452" s="1">
        <v>44978</v>
      </c>
      <c r="F452" s="11">
        <f t="shared" si="44"/>
        <v>44978</v>
      </c>
      <c r="G452">
        <f t="shared" si="41"/>
        <v>2023</v>
      </c>
      <c r="H452">
        <f t="shared" si="42"/>
        <v>2</v>
      </c>
      <c r="I452">
        <f t="shared" si="43"/>
        <v>21</v>
      </c>
      <c r="J452" t="s">
        <v>10</v>
      </c>
      <c r="K452" t="s">
        <v>16</v>
      </c>
      <c r="L452" t="s">
        <v>14</v>
      </c>
      <c r="M452" t="s">
        <v>26</v>
      </c>
      <c r="N452" t="s">
        <v>18</v>
      </c>
      <c r="O452">
        <v>6</v>
      </c>
      <c r="Q452" t="s">
        <v>12</v>
      </c>
      <c r="R452" t="str">
        <f t="shared" si="45"/>
        <v>7_86__455_02/21/2023_2023_MonMon_CRC_TR_RZ_Rz_6__Nutrients</v>
      </c>
    </row>
    <row r="453" spans="1:18" x14ac:dyDescent="0.25">
      <c r="A453">
        <v>7</v>
      </c>
      <c r="B453">
        <v>87</v>
      </c>
      <c r="D453">
        <v>456</v>
      </c>
      <c r="E453" s="1">
        <v>44978</v>
      </c>
      <c r="F453" s="11">
        <f t="shared" si="44"/>
        <v>44978</v>
      </c>
      <c r="G453">
        <f t="shared" ref="G453:G516" si="46">YEAR(E453)</f>
        <v>2023</v>
      </c>
      <c r="H453">
        <f t="shared" ref="H453:H516" si="47">MONTH(E453)</f>
        <v>2</v>
      </c>
      <c r="I453">
        <f t="shared" si="43"/>
        <v>21</v>
      </c>
      <c r="J453" t="s">
        <v>10</v>
      </c>
      <c r="K453" t="s">
        <v>16</v>
      </c>
      <c r="L453" t="s">
        <v>14</v>
      </c>
      <c r="M453" t="s">
        <v>26</v>
      </c>
      <c r="N453" t="s">
        <v>18</v>
      </c>
      <c r="O453">
        <v>7</v>
      </c>
      <c r="Q453" t="s">
        <v>12</v>
      </c>
      <c r="R453" t="str">
        <f t="shared" si="45"/>
        <v>7_87__456_02/21/2023_2023_MonMon_CRC_TR_RZ_Rz_7__Nutrients</v>
      </c>
    </row>
    <row r="454" spans="1:18" x14ac:dyDescent="0.25">
      <c r="A454">
        <v>7</v>
      </c>
      <c r="B454">
        <v>88</v>
      </c>
      <c r="D454">
        <v>457</v>
      </c>
      <c r="E454" s="1">
        <v>44978</v>
      </c>
      <c r="F454" s="11">
        <f t="shared" si="44"/>
        <v>44978</v>
      </c>
      <c r="G454">
        <f t="shared" si="46"/>
        <v>2023</v>
      </c>
      <c r="H454">
        <f t="shared" si="47"/>
        <v>2</v>
      </c>
      <c r="I454">
        <f t="shared" si="43"/>
        <v>21</v>
      </c>
      <c r="J454" t="s">
        <v>10</v>
      </c>
      <c r="K454" t="s">
        <v>16</v>
      </c>
      <c r="L454" t="s">
        <v>14</v>
      </c>
      <c r="M454" t="s">
        <v>26</v>
      </c>
      <c r="N454" t="s">
        <v>18</v>
      </c>
      <c r="O454">
        <v>8</v>
      </c>
      <c r="Q454" t="s">
        <v>12</v>
      </c>
      <c r="R454" t="str">
        <f t="shared" si="45"/>
        <v>7_88__457_02/21/2023_2023_MonMon_CRC_TR_RZ_Rz_8__Nutrients</v>
      </c>
    </row>
    <row r="455" spans="1:18" x14ac:dyDescent="0.25">
      <c r="A455">
        <v>7</v>
      </c>
      <c r="B455">
        <v>91</v>
      </c>
      <c r="D455">
        <v>458</v>
      </c>
      <c r="E455" s="1">
        <v>44978</v>
      </c>
      <c r="F455" s="11">
        <f t="shared" si="44"/>
        <v>44978</v>
      </c>
      <c r="G455">
        <f t="shared" si="46"/>
        <v>2023</v>
      </c>
      <c r="H455">
        <f t="shared" si="47"/>
        <v>2</v>
      </c>
      <c r="I455">
        <f t="shared" si="43"/>
        <v>21</v>
      </c>
      <c r="J455" t="s">
        <v>10</v>
      </c>
      <c r="K455" t="s">
        <v>16</v>
      </c>
      <c r="L455" t="s">
        <v>17</v>
      </c>
      <c r="M455" t="s">
        <v>26</v>
      </c>
      <c r="N455" t="s">
        <v>18</v>
      </c>
      <c r="O455">
        <v>1</v>
      </c>
      <c r="Q455" t="s">
        <v>12</v>
      </c>
      <c r="R455" t="str">
        <f t="shared" si="45"/>
        <v>7_91__458_02/21/2023_2023_MonMon_CRC_UP_RZ_Rz_1__Nutrients</v>
      </c>
    </row>
    <row r="456" spans="1:18" x14ac:dyDescent="0.25">
      <c r="A456">
        <v>7</v>
      </c>
      <c r="B456">
        <v>92</v>
      </c>
      <c r="D456">
        <v>459</v>
      </c>
      <c r="E456" s="1">
        <v>44978</v>
      </c>
      <c r="F456" s="11">
        <f t="shared" si="44"/>
        <v>44978</v>
      </c>
      <c r="G456">
        <f t="shared" si="46"/>
        <v>2023</v>
      </c>
      <c r="H456">
        <f t="shared" si="47"/>
        <v>2</v>
      </c>
      <c r="I456">
        <f t="shared" si="43"/>
        <v>21</v>
      </c>
      <c r="J456" t="s">
        <v>10</v>
      </c>
      <c r="K456" t="s">
        <v>16</v>
      </c>
      <c r="L456" t="s">
        <v>17</v>
      </c>
      <c r="M456" t="s">
        <v>26</v>
      </c>
      <c r="N456" t="s">
        <v>18</v>
      </c>
      <c r="O456">
        <v>2</v>
      </c>
      <c r="Q456" t="s">
        <v>12</v>
      </c>
      <c r="R456" t="str">
        <f t="shared" si="45"/>
        <v>7_92__459_02/21/2023_2023_MonMon_CRC_UP_RZ_Rz_2__Nutrients</v>
      </c>
    </row>
    <row r="457" spans="1:18" x14ac:dyDescent="0.25">
      <c r="A457">
        <v>7</v>
      </c>
      <c r="B457">
        <v>93</v>
      </c>
      <c r="D457">
        <v>460</v>
      </c>
      <c r="E457" s="1">
        <v>44978</v>
      </c>
      <c r="F457" s="11">
        <f t="shared" si="44"/>
        <v>44978</v>
      </c>
      <c r="G457">
        <f t="shared" si="46"/>
        <v>2023</v>
      </c>
      <c r="H457">
        <f t="shared" si="47"/>
        <v>2</v>
      </c>
      <c r="I457">
        <f t="shared" si="43"/>
        <v>21</v>
      </c>
      <c r="J457" t="s">
        <v>10</v>
      </c>
      <c r="K457" t="s">
        <v>16</v>
      </c>
      <c r="L457" t="s">
        <v>17</v>
      </c>
      <c r="M457" t="s">
        <v>26</v>
      </c>
      <c r="N457" t="s">
        <v>18</v>
      </c>
      <c r="O457">
        <v>3</v>
      </c>
      <c r="Q457" t="s">
        <v>12</v>
      </c>
      <c r="R457" t="str">
        <f t="shared" si="45"/>
        <v>7_93__460_02/21/2023_2023_MonMon_CRC_UP_RZ_Rz_3__Nutrients</v>
      </c>
    </row>
    <row r="458" spans="1:18" x14ac:dyDescent="0.25">
      <c r="A458">
        <v>7</v>
      </c>
      <c r="B458">
        <v>94</v>
      </c>
      <c r="D458">
        <v>461</v>
      </c>
      <c r="E458" s="1">
        <v>44978</v>
      </c>
      <c r="F458" s="11">
        <f t="shared" si="44"/>
        <v>44978</v>
      </c>
      <c r="G458">
        <f t="shared" si="46"/>
        <v>2023</v>
      </c>
      <c r="H458">
        <f t="shared" si="47"/>
        <v>2</v>
      </c>
      <c r="I458">
        <f t="shared" si="43"/>
        <v>21</v>
      </c>
      <c r="J458" t="s">
        <v>10</v>
      </c>
      <c r="K458" t="s">
        <v>16</v>
      </c>
      <c r="L458" t="s">
        <v>17</v>
      </c>
      <c r="M458" t="s">
        <v>26</v>
      </c>
      <c r="N458" t="s">
        <v>18</v>
      </c>
      <c r="O458">
        <v>4</v>
      </c>
      <c r="Q458" t="s">
        <v>12</v>
      </c>
      <c r="R458" t="str">
        <f t="shared" si="45"/>
        <v>7_94__461_02/21/2023_2023_MonMon_CRC_UP_RZ_Rz_4__Nutrients</v>
      </c>
    </row>
    <row r="459" spans="1:18" x14ac:dyDescent="0.25">
      <c r="A459">
        <v>7</v>
      </c>
      <c r="B459">
        <v>95</v>
      </c>
      <c r="D459">
        <v>462</v>
      </c>
      <c r="E459" s="1">
        <v>44978</v>
      </c>
      <c r="F459" s="11">
        <f t="shared" si="44"/>
        <v>44978</v>
      </c>
      <c r="G459">
        <f t="shared" si="46"/>
        <v>2023</v>
      </c>
      <c r="H459">
        <f t="shared" si="47"/>
        <v>2</v>
      </c>
      <c r="I459">
        <f t="shared" si="43"/>
        <v>21</v>
      </c>
      <c r="J459" t="s">
        <v>10</v>
      </c>
      <c r="K459" t="s">
        <v>16</v>
      </c>
      <c r="L459" t="s">
        <v>17</v>
      </c>
      <c r="M459" t="s">
        <v>26</v>
      </c>
      <c r="N459" t="s">
        <v>18</v>
      </c>
      <c r="O459">
        <v>5</v>
      </c>
      <c r="Q459" t="s">
        <v>12</v>
      </c>
      <c r="R459" t="str">
        <f t="shared" si="45"/>
        <v>7_95__462_02/21/2023_2023_MonMon_CRC_UP_RZ_Rz_5__Nutrients</v>
      </c>
    </row>
    <row r="460" spans="1:18" x14ac:dyDescent="0.25">
      <c r="A460">
        <v>7</v>
      </c>
      <c r="B460">
        <v>96</v>
      </c>
      <c r="D460">
        <v>463</v>
      </c>
      <c r="E460" s="1">
        <v>44978</v>
      </c>
      <c r="F460" s="11">
        <f t="shared" si="44"/>
        <v>44978</v>
      </c>
      <c r="G460">
        <f t="shared" si="46"/>
        <v>2023</v>
      </c>
      <c r="H460">
        <f t="shared" si="47"/>
        <v>2</v>
      </c>
      <c r="I460">
        <f t="shared" si="43"/>
        <v>21</v>
      </c>
      <c r="J460" t="s">
        <v>10</v>
      </c>
      <c r="K460" t="s">
        <v>16</v>
      </c>
      <c r="L460" t="s">
        <v>17</v>
      </c>
      <c r="M460" t="s">
        <v>26</v>
      </c>
      <c r="N460" t="s">
        <v>18</v>
      </c>
      <c r="O460">
        <v>6</v>
      </c>
      <c r="Q460" t="s">
        <v>12</v>
      </c>
      <c r="R460" t="str">
        <f t="shared" si="45"/>
        <v>7_96__463_02/21/2023_2023_MonMon_CRC_UP_RZ_Rz_6__Nutrients</v>
      </c>
    </row>
    <row r="461" spans="1:18" x14ac:dyDescent="0.25">
      <c r="A461">
        <v>7</v>
      </c>
      <c r="B461">
        <v>97</v>
      </c>
      <c r="D461">
        <v>464</v>
      </c>
      <c r="E461" s="1">
        <v>44978</v>
      </c>
      <c r="F461" s="11">
        <f t="shared" si="44"/>
        <v>44978</v>
      </c>
      <c r="G461">
        <f t="shared" si="46"/>
        <v>2023</v>
      </c>
      <c r="H461">
        <f t="shared" si="47"/>
        <v>2</v>
      </c>
      <c r="I461">
        <f t="shared" si="43"/>
        <v>21</v>
      </c>
      <c r="J461" t="s">
        <v>10</v>
      </c>
      <c r="K461" t="s">
        <v>16</v>
      </c>
      <c r="L461" t="s">
        <v>17</v>
      </c>
      <c r="M461" t="s">
        <v>26</v>
      </c>
      <c r="N461" t="s">
        <v>18</v>
      </c>
      <c r="O461">
        <v>7</v>
      </c>
      <c r="Q461" t="s">
        <v>12</v>
      </c>
      <c r="R461" t="str">
        <f t="shared" si="45"/>
        <v>7_97__464_02/21/2023_2023_MonMon_CRC_UP_RZ_Rz_7__Nutrients</v>
      </c>
    </row>
    <row r="462" spans="1:18" x14ac:dyDescent="0.25">
      <c r="A462">
        <v>7</v>
      </c>
      <c r="B462">
        <v>98</v>
      </c>
      <c r="D462">
        <v>465</v>
      </c>
      <c r="E462" s="1">
        <v>44978</v>
      </c>
      <c r="F462" s="11">
        <f t="shared" si="44"/>
        <v>44978</v>
      </c>
      <c r="G462">
        <f t="shared" si="46"/>
        <v>2023</v>
      </c>
      <c r="H462">
        <f t="shared" si="47"/>
        <v>2</v>
      </c>
      <c r="I462">
        <f t="shared" si="43"/>
        <v>21</v>
      </c>
      <c r="J462" t="s">
        <v>10</v>
      </c>
      <c r="K462" t="s">
        <v>16</v>
      </c>
      <c r="L462" t="s">
        <v>17</v>
      </c>
      <c r="M462" t="s">
        <v>26</v>
      </c>
      <c r="N462" t="s">
        <v>18</v>
      </c>
      <c r="O462">
        <v>8</v>
      </c>
      <c r="Q462" t="s">
        <v>12</v>
      </c>
      <c r="R462" t="str">
        <f t="shared" si="45"/>
        <v>7_98__465_02/21/2023_2023_MonMon_CRC_UP_RZ_Rz_8__Nutrients</v>
      </c>
    </row>
    <row r="463" spans="1:18" x14ac:dyDescent="0.25">
      <c r="A463">
        <v>7</v>
      </c>
      <c r="B463">
        <v>99</v>
      </c>
      <c r="D463">
        <v>466</v>
      </c>
      <c r="F463" s="11">
        <f t="shared" si="44"/>
        <v>0</v>
      </c>
      <c r="G463">
        <f t="shared" si="46"/>
        <v>1900</v>
      </c>
      <c r="H463">
        <f t="shared" si="47"/>
        <v>1</v>
      </c>
      <c r="I463">
        <f t="shared" si="43"/>
        <v>0</v>
      </c>
      <c r="Q463" t="s">
        <v>12</v>
      </c>
      <c r="R463" t="str">
        <f t="shared" si="45"/>
        <v>7_99__466_01/00/1900_1900________Nutrients</v>
      </c>
    </row>
    <row r="464" spans="1:18" x14ac:dyDescent="0.25">
      <c r="A464">
        <v>8</v>
      </c>
      <c r="B464">
        <v>1</v>
      </c>
      <c r="D464">
        <v>467</v>
      </c>
      <c r="E464" s="1">
        <v>44981</v>
      </c>
      <c r="F464" s="11">
        <f t="shared" si="44"/>
        <v>44981</v>
      </c>
      <c r="G464">
        <f t="shared" si="46"/>
        <v>2023</v>
      </c>
      <c r="H464">
        <f t="shared" si="47"/>
        <v>2</v>
      </c>
      <c r="I464">
        <f t="shared" si="43"/>
        <v>24</v>
      </c>
      <c r="J464" t="s">
        <v>10</v>
      </c>
      <c r="K464" t="s">
        <v>13</v>
      </c>
      <c r="L464" t="s">
        <v>9</v>
      </c>
      <c r="M464" t="s">
        <v>11</v>
      </c>
      <c r="N464" t="s">
        <v>27</v>
      </c>
      <c r="O464" t="s">
        <v>23</v>
      </c>
      <c r="P464">
        <v>10</v>
      </c>
      <c r="Q464" t="s">
        <v>50</v>
      </c>
      <c r="R464" t="str">
        <f t="shared" si="45"/>
        <v>8_1__467_02/24/2023_2023_MonMon_PTR_W_PW_Sip_A_10_Nutri</v>
      </c>
    </row>
    <row r="465" spans="1:18" x14ac:dyDescent="0.25">
      <c r="A465">
        <v>8</v>
      </c>
      <c r="B465">
        <v>2</v>
      </c>
      <c r="D465">
        <v>468</v>
      </c>
      <c r="E465" s="1">
        <v>44981</v>
      </c>
      <c r="F465" s="11">
        <f t="shared" si="44"/>
        <v>44981</v>
      </c>
      <c r="G465">
        <f t="shared" si="46"/>
        <v>2023</v>
      </c>
      <c r="H465">
        <f t="shared" si="47"/>
        <v>2</v>
      </c>
      <c r="I465">
        <f t="shared" si="43"/>
        <v>24</v>
      </c>
      <c r="J465" t="s">
        <v>10</v>
      </c>
      <c r="K465" t="s">
        <v>13</v>
      </c>
      <c r="L465" t="s">
        <v>9</v>
      </c>
      <c r="M465" t="s">
        <v>11</v>
      </c>
      <c r="N465" t="s">
        <v>27</v>
      </c>
      <c r="O465" t="s">
        <v>23</v>
      </c>
      <c r="P465">
        <v>20</v>
      </c>
      <c r="Q465" t="s">
        <v>50</v>
      </c>
      <c r="R465" t="str">
        <f t="shared" si="45"/>
        <v>8_2__468_02/24/2023_2023_MonMon_PTR_W_PW_Sip_A_20_Nutri</v>
      </c>
    </row>
    <row r="466" spans="1:18" x14ac:dyDescent="0.25">
      <c r="A466">
        <v>8</v>
      </c>
      <c r="B466">
        <v>3</v>
      </c>
      <c r="D466">
        <v>469</v>
      </c>
      <c r="E466" s="1">
        <v>44981</v>
      </c>
      <c r="F466" s="11">
        <f t="shared" si="44"/>
        <v>44981</v>
      </c>
      <c r="G466">
        <f t="shared" si="46"/>
        <v>2023</v>
      </c>
      <c r="H466">
        <f t="shared" si="47"/>
        <v>2</v>
      </c>
      <c r="I466">
        <f t="shared" si="43"/>
        <v>24</v>
      </c>
      <c r="J466" t="s">
        <v>10</v>
      </c>
      <c r="K466" t="s">
        <v>13</v>
      </c>
      <c r="L466" t="s">
        <v>9</v>
      </c>
      <c r="M466" t="s">
        <v>11</v>
      </c>
      <c r="N466" t="s">
        <v>27</v>
      </c>
      <c r="O466" t="s">
        <v>23</v>
      </c>
      <c r="P466">
        <v>45</v>
      </c>
      <c r="Q466" t="s">
        <v>50</v>
      </c>
      <c r="R466" t="str">
        <f t="shared" si="45"/>
        <v>8_3__469_02/24/2023_2023_MonMon_PTR_W_PW_Sip_A_45_Nutri</v>
      </c>
    </row>
    <row r="467" spans="1:18" x14ac:dyDescent="0.25">
      <c r="A467">
        <v>8</v>
      </c>
      <c r="B467">
        <v>4</v>
      </c>
      <c r="D467">
        <v>470</v>
      </c>
      <c r="E467" s="1">
        <v>44981</v>
      </c>
      <c r="F467" s="11">
        <f t="shared" si="44"/>
        <v>44981</v>
      </c>
      <c r="G467">
        <f t="shared" si="46"/>
        <v>2023</v>
      </c>
      <c r="H467">
        <f t="shared" si="47"/>
        <v>2</v>
      </c>
      <c r="I467">
        <f t="shared" si="43"/>
        <v>24</v>
      </c>
      <c r="J467" t="s">
        <v>10</v>
      </c>
      <c r="K467" t="s">
        <v>13</v>
      </c>
      <c r="L467" t="s">
        <v>9</v>
      </c>
      <c r="M467" t="s">
        <v>11</v>
      </c>
      <c r="N467" t="s">
        <v>27</v>
      </c>
      <c r="O467" t="s">
        <v>24</v>
      </c>
      <c r="P467">
        <v>10</v>
      </c>
      <c r="Q467" t="s">
        <v>50</v>
      </c>
      <c r="R467" t="str">
        <f t="shared" si="45"/>
        <v>8_4__470_02/24/2023_2023_MonMon_PTR_W_PW_Sip_B_10_Nutri</v>
      </c>
    </row>
    <row r="468" spans="1:18" x14ac:dyDescent="0.25">
      <c r="A468">
        <v>8</v>
      </c>
      <c r="B468">
        <v>5</v>
      </c>
      <c r="D468">
        <v>471</v>
      </c>
      <c r="E468" s="1">
        <v>44981</v>
      </c>
      <c r="F468" s="11">
        <f t="shared" si="44"/>
        <v>44981</v>
      </c>
      <c r="G468">
        <f t="shared" si="46"/>
        <v>2023</v>
      </c>
      <c r="H468">
        <f t="shared" si="47"/>
        <v>2</v>
      </c>
      <c r="I468">
        <f t="shared" si="43"/>
        <v>24</v>
      </c>
      <c r="J468" t="s">
        <v>10</v>
      </c>
      <c r="K468" t="s">
        <v>13</v>
      </c>
      <c r="L468" t="s">
        <v>9</v>
      </c>
      <c r="M468" t="s">
        <v>11</v>
      </c>
      <c r="N468" t="s">
        <v>27</v>
      </c>
      <c r="O468" t="s">
        <v>24</v>
      </c>
      <c r="P468">
        <v>20</v>
      </c>
      <c r="Q468" t="s">
        <v>50</v>
      </c>
      <c r="R468" t="str">
        <f t="shared" si="45"/>
        <v>8_5__471_02/24/2023_2023_MonMon_PTR_W_PW_Sip_B_20_Nutri</v>
      </c>
    </row>
    <row r="469" spans="1:18" x14ac:dyDescent="0.25">
      <c r="A469">
        <v>8</v>
      </c>
      <c r="B469">
        <v>6</v>
      </c>
      <c r="D469">
        <v>472</v>
      </c>
      <c r="E469" s="1">
        <v>44981</v>
      </c>
      <c r="F469" s="11">
        <f t="shared" si="44"/>
        <v>44981</v>
      </c>
      <c r="G469">
        <f t="shared" si="46"/>
        <v>2023</v>
      </c>
      <c r="H469">
        <f t="shared" si="47"/>
        <v>2</v>
      </c>
      <c r="I469">
        <f t="shared" si="43"/>
        <v>24</v>
      </c>
      <c r="J469" t="s">
        <v>10</v>
      </c>
      <c r="K469" t="s">
        <v>13</v>
      </c>
      <c r="L469" t="s">
        <v>9</v>
      </c>
      <c r="M469" t="s">
        <v>11</v>
      </c>
      <c r="N469" t="s">
        <v>27</v>
      </c>
      <c r="O469" t="s">
        <v>24</v>
      </c>
      <c r="P469">
        <v>45</v>
      </c>
      <c r="Q469" t="s">
        <v>50</v>
      </c>
      <c r="R469" t="str">
        <f t="shared" si="45"/>
        <v>8_6__472_02/24/2023_2023_MonMon_PTR_W_PW_Sip_B_45_Nutri</v>
      </c>
    </row>
    <row r="470" spans="1:18" x14ac:dyDescent="0.25">
      <c r="A470">
        <v>8</v>
      </c>
      <c r="B470">
        <v>7</v>
      </c>
      <c r="D470">
        <v>473</v>
      </c>
      <c r="E470" s="1">
        <v>44981</v>
      </c>
      <c r="F470" s="11">
        <f t="shared" si="44"/>
        <v>44981</v>
      </c>
      <c r="G470">
        <f t="shared" si="46"/>
        <v>2023</v>
      </c>
      <c r="H470">
        <f t="shared" si="47"/>
        <v>2</v>
      </c>
      <c r="I470">
        <f t="shared" si="43"/>
        <v>24</v>
      </c>
      <c r="J470" t="s">
        <v>10</v>
      </c>
      <c r="K470" t="s">
        <v>13</v>
      </c>
      <c r="L470" t="s">
        <v>9</v>
      </c>
      <c r="M470" t="s">
        <v>11</v>
      </c>
      <c r="N470" t="s">
        <v>27</v>
      </c>
      <c r="O470" t="s">
        <v>25</v>
      </c>
      <c r="P470">
        <v>10</v>
      </c>
      <c r="Q470" t="s">
        <v>50</v>
      </c>
      <c r="R470" t="str">
        <f t="shared" si="45"/>
        <v>8_7__473_02/24/2023_2023_MonMon_PTR_W_PW_Sip_C_10_Nutri</v>
      </c>
    </row>
    <row r="471" spans="1:18" x14ac:dyDescent="0.25">
      <c r="A471">
        <v>8</v>
      </c>
      <c r="B471">
        <v>8</v>
      </c>
      <c r="D471">
        <v>474</v>
      </c>
      <c r="E471" s="1">
        <v>44981</v>
      </c>
      <c r="F471" s="11">
        <f t="shared" si="44"/>
        <v>44981</v>
      </c>
      <c r="G471">
        <f t="shared" si="46"/>
        <v>2023</v>
      </c>
      <c r="H471">
        <f t="shared" si="47"/>
        <v>2</v>
      </c>
      <c r="I471">
        <f t="shared" si="43"/>
        <v>24</v>
      </c>
      <c r="J471" t="s">
        <v>10</v>
      </c>
      <c r="K471" t="s">
        <v>13</v>
      </c>
      <c r="L471" t="s">
        <v>9</v>
      </c>
      <c r="M471" t="s">
        <v>11</v>
      </c>
      <c r="N471" t="s">
        <v>27</v>
      </c>
      <c r="O471" t="s">
        <v>25</v>
      </c>
      <c r="P471">
        <v>20</v>
      </c>
      <c r="Q471" t="s">
        <v>50</v>
      </c>
      <c r="R471" t="str">
        <f t="shared" si="45"/>
        <v>8_8__474_02/24/2023_2023_MonMon_PTR_W_PW_Sip_C_20_Nutri</v>
      </c>
    </row>
    <row r="472" spans="1:18" x14ac:dyDescent="0.25">
      <c r="A472">
        <v>8</v>
      </c>
      <c r="B472">
        <v>9</v>
      </c>
      <c r="D472">
        <v>475</v>
      </c>
      <c r="E472" s="1">
        <v>44981</v>
      </c>
      <c r="F472" s="11">
        <f t="shared" si="44"/>
        <v>44981</v>
      </c>
      <c r="G472">
        <f t="shared" si="46"/>
        <v>2023</v>
      </c>
      <c r="H472">
        <f t="shared" si="47"/>
        <v>2</v>
      </c>
      <c r="I472">
        <f t="shared" si="43"/>
        <v>24</v>
      </c>
      <c r="J472" t="s">
        <v>10</v>
      </c>
      <c r="K472" t="s">
        <v>13</v>
      </c>
      <c r="L472" t="s">
        <v>9</v>
      </c>
      <c r="M472" t="s">
        <v>11</v>
      </c>
      <c r="N472" t="s">
        <v>27</v>
      </c>
      <c r="O472" t="s">
        <v>25</v>
      </c>
      <c r="P472">
        <v>45</v>
      </c>
      <c r="Q472" t="s">
        <v>50</v>
      </c>
      <c r="R472" t="str">
        <f t="shared" si="45"/>
        <v>8_9__475_02/24/2023_2023_MonMon_PTR_W_PW_Sip_C_45_Nutri</v>
      </c>
    </row>
    <row r="473" spans="1:18" x14ac:dyDescent="0.25">
      <c r="A473">
        <v>8</v>
      </c>
      <c r="B473">
        <v>10</v>
      </c>
      <c r="D473">
        <v>476</v>
      </c>
      <c r="E473" s="1">
        <v>44981</v>
      </c>
      <c r="F473" s="11">
        <f t="shared" si="44"/>
        <v>44981</v>
      </c>
      <c r="G473">
        <f t="shared" si="46"/>
        <v>2023</v>
      </c>
      <c r="H473">
        <f t="shared" si="47"/>
        <v>2</v>
      </c>
      <c r="I473">
        <f t="shared" si="43"/>
        <v>24</v>
      </c>
      <c r="J473" t="s">
        <v>10</v>
      </c>
      <c r="K473" t="s">
        <v>13</v>
      </c>
      <c r="L473" t="s">
        <v>14</v>
      </c>
      <c r="M473" t="s">
        <v>11</v>
      </c>
      <c r="N473" t="s">
        <v>15</v>
      </c>
      <c r="O473" t="s">
        <v>23</v>
      </c>
      <c r="P473">
        <v>10</v>
      </c>
      <c r="Q473" t="s">
        <v>50</v>
      </c>
      <c r="R473" t="str">
        <f t="shared" si="45"/>
        <v>8_10__476_02/24/2023_2023_MonMon_PTR_TR_PW_Lys_A_10_Nutri</v>
      </c>
    </row>
    <row r="474" spans="1:18" x14ac:dyDescent="0.25">
      <c r="A474">
        <v>8</v>
      </c>
      <c r="B474">
        <v>11</v>
      </c>
      <c r="D474">
        <v>477</v>
      </c>
      <c r="E474" s="1">
        <v>44981</v>
      </c>
      <c r="F474" s="11">
        <f t="shared" si="44"/>
        <v>44981</v>
      </c>
      <c r="G474">
        <f t="shared" si="46"/>
        <v>2023</v>
      </c>
      <c r="H474">
        <f t="shared" si="47"/>
        <v>2</v>
      </c>
      <c r="I474">
        <f t="shared" si="43"/>
        <v>24</v>
      </c>
      <c r="J474" t="s">
        <v>10</v>
      </c>
      <c r="K474" t="s">
        <v>13</v>
      </c>
      <c r="L474" t="s">
        <v>14</v>
      </c>
      <c r="M474" t="s">
        <v>11</v>
      </c>
      <c r="N474" t="s">
        <v>15</v>
      </c>
      <c r="O474" t="s">
        <v>23</v>
      </c>
      <c r="P474">
        <v>20</v>
      </c>
      <c r="Q474" t="s">
        <v>50</v>
      </c>
      <c r="R474" t="str">
        <f t="shared" si="45"/>
        <v>8_11__477_02/24/2023_2023_MonMon_PTR_TR_PW_Lys_A_20_Nutri</v>
      </c>
    </row>
    <row r="475" spans="1:18" x14ac:dyDescent="0.25">
      <c r="A475">
        <v>8</v>
      </c>
      <c r="B475">
        <v>12</v>
      </c>
      <c r="D475">
        <v>478</v>
      </c>
      <c r="E475" s="1">
        <v>44981</v>
      </c>
      <c r="F475" s="11">
        <f t="shared" si="44"/>
        <v>44981</v>
      </c>
      <c r="G475">
        <f t="shared" si="46"/>
        <v>2023</v>
      </c>
      <c r="H475">
        <f t="shared" si="47"/>
        <v>2</v>
      </c>
      <c r="I475">
        <f t="shared" si="43"/>
        <v>24</v>
      </c>
      <c r="J475" t="s">
        <v>10</v>
      </c>
      <c r="K475" t="s">
        <v>13</v>
      </c>
      <c r="L475" t="s">
        <v>14</v>
      </c>
      <c r="M475" t="s">
        <v>11</v>
      </c>
      <c r="N475" t="s">
        <v>15</v>
      </c>
      <c r="O475" t="s">
        <v>23</v>
      </c>
      <c r="P475">
        <v>45</v>
      </c>
      <c r="Q475" t="s">
        <v>50</v>
      </c>
      <c r="R475" t="str">
        <f t="shared" si="45"/>
        <v>8_12__478_02/24/2023_2023_MonMon_PTR_TR_PW_Lys_A_45_Nutri</v>
      </c>
    </row>
    <row r="476" spans="1:18" x14ac:dyDescent="0.25">
      <c r="A476">
        <v>8</v>
      </c>
      <c r="B476">
        <v>13</v>
      </c>
      <c r="D476">
        <v>479</v>
      </c>
      <c r="E476" s="1">
        <v>44981</v>
      </c>
      <c r="F476" s="11">
        <f t="shared" si="44"/>
        <v>44981</v>
      </c>
      <c r="G476">
        <f t="shared" si="46"/>
        <v>2023</v>
      </c>
      <c r="H476">
        <f t="shared" si="47"/>
        <v>2</v>
      </c>
      <c r="I476">
        <f t="shared" si="43"/>
        <v>24</v>
      </c>
      <c r="J476" t="s">
        <v>10</v>
      </c>
      <c r="K476" t="s">
        <v>13</v>
      </c>
      <c r="L476" t="s">
        <v>14</v>
      </c>
      <c r="M476" t="s">
        <v>11</v>
      </c>
      <c r="N476" t="s">
        <v>15</v>
      </c>
      <c r="O476" t="s">
        <v>24</v>
      </c>
      <c r="P476">
        <v>10</v>
      </c>
      <c r="Q476" t="s">
        <v>50</v>
      </c>
      <c r="R476" t="str">
        <f t="shared" si="45"/>
        <v>8_13__479_02/24/2023_2023_MonMon_PTR_TR_PW_Lys_B_10_Nutri</v>
      </c>
    </row>
    <row r="477" spans="1:18" x14ac:dyDescent="0.25">
      <c r="A477">
        <v>8</v>
      </c>
      <c r="B477">
        <v>14</v>
      </c>
      <c r="D477">
        <v>480</v>
      </c>
      <c r="E477" s="1">
        <v>44981</v>
      </c>
      <c r="F477" s="11">
        <f t="shared" si="44"/>
        <v>44981</v>
      </c>
      <c r="G477">
        <f t="shared" si="46"/>
        <v>2023</v>
      </c>
      <c r="H477">
        <f t="shared" si="47"/>
        <v>2</v>
      </c>
      <c r="I477">
        <f t="shared" si="43"/>
        <v>24</v>
      </c>
      <c r="J477" t="s">
        <v>10</v>
      </c>
      <c r="K477" t="s">
        <v>13</v>
      </c>
      <c r="L477" t="s">
        <v>14</v>
      </c>
      <c r="M477" t="s">
        <v>11</v>
      </c>
      <c r="N477" t="s">
        <v>15</v>
      </c>
      <c r="O477" t="s">
        <v>24</v>
      </c>
      <c r="P477">
        <v>20</v>
      </c>
      <c r="Q477" t="s">
        <v>50</v>
      </c>
      <c r="R477" t="str">
        <f t="shared" si="45"/>
        <v>8_14__480_02/24/2023_2023_MonMon_PTR_TR_PW_Lys_B_20_Nutri</v>
      </c>
    </row>
    <row r="478" spans="1:18" x14ac:dyDescent="0.25">
      <c r="A478">
        <v>8</v>
      </c>
      <c r="B478">
        <v>15</v>
      </c>
      <c r="D478">
        <v>481</v>
      </c>
      <c r="E478" s="1">
        <v>44981</v>
      </c>
      <c r="F478" s="11">
        <f t="shared" si="44"/>
        <v>44981</v>
      </c>
      <c r="G478">
        <f t="shared" si="46"/>
        <v>2023</v>
      </c>
      <c r="H478">
        <f t="shared" si="47"/>
        <v>2</v>
      </c>
      <c r="I478">
        <f t="shared" si="43"/>
        <v>24</v>
      </c>
      <c r="J478" t="s">
        <v>10</v>
      </c>
      <c r="K478" t="s">
        <v>13</v>
      </c>
      <c r="L478" t="s">
        <v>14</v>
      </c>
      <c r="M478" t="s">
        <v>11</v>
      </c>
      <c r="N478" t="s">
        <v>15</v>
      </c>
      <c r="O478" t="s">
        <v>24</v>
      </c>
      <c r="P478">
        <v>45</v>
      </c>
      <c r="Q478" t="s">
        <v>50</v>
      </c>
      <c r="R478" t="str">
        <f t="shared" si="45"/>
        <v>8_15__481_02/24/2023_2023_MonMon_PTR_TR_PW_Lys_B_45_Nutri</v>
      </c>
    </row>
    <row r="479" spans="1:18" x14ac:dyDescent="0.25">
      <c r="A479">
        <v>8</v>
      </c>
      <c r="B479">
        <v>16</v>
      </c>
      <c r="D479">
        <v>482</v>
      </c>
      <c r="E479" s="1">
        <v>44981</v>
      </c>
      <c r="F479" s="11">
        <f t="shared" si="44"/>
        <v>44981</v>
      </c>
      <c r="G479">
        <f t="shared" si="46"/>
        <v>2023</v>
      </c>
      <c r="H479">
        <f t="shared" si="47"/>
        <v>2</v>
      </c>
      <c r="I479">
        <f t="shared" si="43"/>
        <v>24</v>
      </c>
      <c r="J479" t="s">
        <v>10</v>
      </c>
      <c r="K479" t="s">
        <v>13</v>
      </c>
      <c r="L479" t="s">
        <v>14</v>
      </c>
      <c r="M479" t="s">
        <v>11</v>
      </c>
      <c r="N479" t="s">
        <v>15</v>
      </c>
      <c r="O479" t="s">
        <v>25</v>
      </c>
      <c r="P479">
        <v>10</v>
      </c>
      <c r="Q479" t="s">
        <v>50</v>
      </c>
      <c r="R479" t="str">
        <f t="shared" si="45"/>
        <v>8_16__482_02/24/2023_2023_MonMon_PTR_TR_PW_Lys_C_10_Nutri</v>
      </c>
    </row>
    <row r="480" spans="1:18" x14ac:dyDescent="0.25">
      <c r="A480">
        <v>8</v>
      </c>
      <c r="B480">
        <v>17</v>
      </c>
      <c r="D480">
        <v>483</v>
      </c>
      <c r="E480" s="1">
        <v>44981</v>
      </c>
      <c r="F480" s="11">
        <f t="shared" si="44"/>
        <v>44981</v>
      </c>
      <c r="G480">
        <f t="shared" si="46"/>
        <v>2023</v>
      </c>
      <c r="H480">
        <f t="shared" si="47"/>
        <v>2</v>
      </c>
      <c r="I480">
        <f t="shared" si="43"/>
        <v>24</v>
      </c>
      <c r="J480" t="s">
        <v>10</v>
      </c>
      <c r="K480" t="s">
        <v>13</v>
      </c>
      <c r="L480" t="s">
        <v>14</v>
      </c>
      <c r="M480" t="s">
        <v>11</v>
      </c>
      <c r="N480" t="s">
        <v>15</v>
      </c>
      <c r="O480" t="s">
        <v>25</v>
      </c>
      <c r="P480">
        <v>20</v>
      </c>
      <c r="Q480" t="s">
        <v>50</v>
      </c>
      <c r="R480" t="str">
        <f t="shared" si="45"/>
        <v>8_17__483_02/24/2023_2023_MonMon_PTR_TR_PW_Lys_C_20_Nutri</v>
      </c>
    </row>
    <row r="481" spans="1:18" x14ac:dyDescent="0.25">
      <c r="A481">
        <v>8</v>
      </c>
      <c r="B481">
        <v>18</v>
      </c>
      <c r="D481">
        <v>484</v>
      </c>
      <c r="E481" s="1">
        <v>44981</v>
      </c>
      <c r="F481" s="11">
        <f t="shared" si="44"/>
        <v>44981</v>
      </c>
      <c r="G481">
        <f t="shared" si="46"/>
        <v>2023</v>
      </c>
      <c r="H481">
        <f t="shared" si="47"/>
        <v>2</v>
      </c>
      <c r="I481">
        <f t="shared" si="43"/>
        <v>24</v>
      </c>
      <c r="J481" t="s">
        <v>10</v>
      </c>
      <c r="K481" t="s">
        <v>13</v>
      </c>
      <c r="L481" t="s">
        <v>14</v>
      </c>
      <c r="M481" t="s">
        <v>11</v>
      </c>
      <c r="N481" t="s">
        <v>15</v>
      </c>
      <c r="O481" t="s">
        <v>25</v>
      </c>
      <c r="P481">
        <v>45</v>
      </c>
      <c r="Q481" t="s">
        <v>50</v>
      </c>
      <c r="R481" t="str">
        <f t="shared" si="45"/>
        <v>8_18__484_02/24/2023_2023_MonMon_PTR_TR_PW_Lys_C_45_Nutri</v>
      </c>
    </row>
    <row r="482" spans="1:18" x14ac:dyDescent="0.25">
      <c r="A482">
        <v>8</v>
      </c>
      <c r="B482">
        <v>19</v>
      </c>
      <c r="D482">
        <v>485</v>
      </c>
      <c r="E482" s="1">
        <v>44981</v>
      </c>
      <c r="F482" s="11">
        <f t="shared" si="44"/>
        <v>44981</v>
      </c>
      <c r="G482">
        <f t="shared" si="46"/>
        <v>2023</v>
      </c>
      <c r="H482">
        <f t="shared" si="47"/>
        <v>2</v>
      </c>
      <c r="I482">
        <f t="shared" si="43"/>
        <v>24</v>
      </c>
      <c r="J482" t="s">
        <v>10</v>
      </c>
      <c r="K482" t="s">
        <v>13</v>
      </c>
      <c r="L482" t="s">
        <v>17</v>
      </c>
      <c r="M482" t="s">
        <v>11</v>
      </c>
      <c r="N482" t="s">
        <v>15</v>
      </c>
      <c r="O482" t="s">
        <v>23</v>
      </c>
      <c r="P482">
        <v>10</v>
      </c>
      <c r="Q482" t="s">
        <v>50</v>
      </c>
      <c r="R482" t="str">
        <f t="shared" si="45"/>
        <v>8_19__485_02/24/2023_2023_MonMon_PTR_UP_PW_Lys_A_10_Nutri</v>
      </c>
    </row>
    <row r="483" spans="1:18" x14ac:dyDescent="0.25">
      <c r="A483">
        <v>8</v>
      </c>
      <c r="B483">
        <v>20</v>
      </c>
      <c r="D483">
        <v>486</v>
      </c>
      <c r="E483" s="1">
        <v>44981</v>
      </c>
      <c r="F483" s="11">
        <f t="shared" si="44"/>
        <v>44981</v>
      </c>
      <c r="G483">
        <f t="shared" si="46"/>
        <v>2023</v>
      </c>
      <c r="H483">
        <f t="shared" si="47"/>
        <v>2</v>
      </c>
      <c r="I483">
        <f t="shared" si="43"/>
        <v>24</v>
      </c>
      <c r="J483" t="s">
        <v>10</v>
      </c>
      <c r="K483" t="s">
        <v>13</v>
      </c>
      <c r="L483" t="s">
        <v>17</v>
      </c>
      <c r="M483" t="s">
        <v>11</v>
      </c>
      <c r="N483" t="s">
        <v>15</v>
      </c>
      <c r="O483" t="s">
        <v>23</v>
      </c>
      <c r="P483">
        <v>20</v>
      </c>
      <c r="Q483" t="s">
        <v>50</v>
      </c>
      <c r="R483" t="str">
        <f t="shared" si="45"/>
        <v>8_20__486_02/24/2023_2023_MonMon_PTR_UP_PW_Lys_A_20_Nutri</v>
      </c>
    </row>
    <row r="484" spans="1:18" x14ac:dyDescent="0.25">
      <c r="A484">
        <v>8</v>
      </c>
      <c r="B484">
        <v>21</v>
      </c>
      <c r="D484">
        <v>487</v>
      </c>
      <c r="E484" s="1">
        <v>44981</v>
      </c>
      <c r="F484" s="11">
        <f t="shared" si="44"/>
        <v>44981</v>
      </c>
      <c r="G484">
        <f t="shared" si="46"/>
        <v>2023</v>
      </c>
      <c r="H484">
        <f t="shared" si="47"/>
        <v>2</v>
      </c>
      <c r="I484">
        <f t="shared" si="43"/>
        <v>24</v>
      </c>
      <c r="J484" t="s">
        <v>10</v>
      </c>
      <c r="K484" t="s">
        <v>13</v>
      </c>
      <c r="L484" t="s">
        <v>17</v>
      </c>
      <c r="M484" t="s">
        <v>11</v>
      </c>
      <c r="N484" t="s">
        <v>15</v>
      </c>
      <c r="O484" t="s">
        <v>23</v>
      </c>
      <c r="P484">
        <v>45</v>
      </c>
      <c r="Q484" t="s">
        <v>50</v>
      </c>
      <c r="R484" t="str">
        <f t="shared" si="45"/>
        <v>8_21__487_02/24/2023_2023_MonMon_PTR_UP_PW_Lys_A_45_Nutri</v>
      </c>
    </row>
    <row r="485" spans="1:18" x14ac:dyDescent="0.25">
      <c r="A485">
        <v>8</v>
      </c>
      <c r="B485">
        <v>22</v>
      </c>
      <c r="D485">
        <v>488</v>
      </c>
      <c r="E485" s="1">
        <v>44981</v>
      </c>
      <c r="F485" s="11">
        <f t="shared" si="44"/>
        <v>44981</v>
      </c>
      <c r="G485">
        <f t="shared" si="46"/>
        <v>2023</v>
      </c>
      <c r="H485">
        <f t="shared" si="47"/>
        <v>2</v>
      </c>
      <c r="I485">
        <f t="shared" si="43"/>
        <v>24</v>
      </c>
      <c r="J485" t="s">
        <v>10</v>
      </c>
      <c r="K485" t="s">
        <v>13</v>
      </c>
      <c r="L485" t="s">
        <v>17</v>
      </c>
      <c r="M485" t="s">
        <v>11</v>
      </c>
      <c r="N485" t="s">
        <v>15</v>
      </c>
      <c r="O485" t="s">
        <v>24</v>
      </c>
      <c r="P485">
        <v>10</v>
      </c>
      <c r="Q485" t="s">
        <v>50</v>
      </c>
      <c r="R485" t="str">
        <f t="shared" si="45"/>
        <v>8_22__488_02/24/2023_2023_MonMon_PTR_UP_PW_Lys_B_10_Nutri</v>
      </c>
    </row>
    <row r="486" spans="1:18" x14ac:dyDescent="0.25">
      <c r="A486">
        <v>8</v>
      </c>
      <c r="B486">
        <v>23</v>
      </c>
      <c r="D486">
        <v>489</v>
      </c>
      <c r="E486" s="1">
        <v>44981</v>
      </c>
      <c r="F486" s="11">
        <f t="shared" si="44"/>
        <v>44981</v>
      </c>
      <c r="G486">
        <f t="shared" si="46"/>
        <v>2023</v>
      </c>
      <c r="H486">
        <f t="shared" si="47"/>
        <v>2</v>
      </c>
      <c r="I486">
        <f t="shared" si="43"/>
        <v>24</v>
      </c>
      <c r="J486" t="s">
        <v>10</v>
      </c>
      <c r="K486" t="s">
        <v>13</v>
      </c>
      <c r="L486" t="s">
        <v>17</v>
      </c>
      <c r="M486" t="s">
        <v>11</v>
      </c>
      <c r="N486" t="s">
        <v>15</v>
      </c>
      <c r="O486" t="s">
        <v>24</v>
      </c>
      <c r="P486">
        <v>20</v>
      </c>
      <c r="Q486" t="s">
        <v>50</v>
      </c>
      <c r="R486" t="str">
        <f t="shared" si="45"/>
        <v>8_23__489_02/24/2023_2023_MonMon_PTR_UP_PW_Lys_B_20_Nutri</v>
      </c>
    </row>
    <row r="487" spans="1:18" x14ac:dyDescent="0.25">
      <c r="A487">
        <v>8</v>
      </c>
      <c r="B487">
        <v>24</v>
      </c>
      <c r="D487">
        <v>490</v>
      </c>
      <c r="E487" s="1">
        <v>44981</v>
      </c>
      <c r="F487" s="11">
        <f t="shared" si="44"/>
        <v>44981</v>
      </c>
      <c r="G487">
        <f t="shared" si="46"/>
        <v>2023</v>
      </c>
      <c r="H487">
        <f t="shared" si="47"/>
        <v>2</v>
      </c>
      <c r="I487">
        <f t="shared" si="43"/>
        <v>24</v>
      </c>
      <c r="J487" t="s">
        <v>10</v>
      </c>
      <c r="K487" t="s">
        <v>13</v>
      </c>
      <c r="L487" t="s">
        <v>17</v>
      </c>
      <c r="M487" t="s">
        <v>11</v>
      </c>
      <c r="N487" t="s">
        <v>15</v>
      </c>
      <c r="O487" t="s">
        <v>25</v>
      </c>
      <c r="P487">
        <v>20</v>
      </c>
      <c r="Q487" t="s">
        <v>50</v>
      </c>
      <c r="R487" t="str">
        <f t="shared" si="45"/>
        <v>8_24__490_02/24/2023_2023_MonMon_PTR_UP_PW_Lys_C_20_Nutri</v>
      </c>
    </row>
    <row r="488" spans="1:18" x14ac:dyDescent="0.25">
      <c r="A488">
        <v>8</v>
      </c>
      <c r="B488">
        <v>25</v>
      </c>
      <c r="D488">
        <v>491</v>
      </c>
      <c r="E488" s="1">
        <v>44981</v>
      </c>
      <c r="F488" s="11">
        <f t="shared" si="44"/>
        <v>44981</v>
      </c>
      <c r="G488">
        <f t="shared" si="46"/>
        <v>2023</v>
      </c>
      <c r="H488">
        <f t="shared" si="47"/>
        <v>2</v>
      </c>
      <c r="I488">
        <f t="shared" si="43"/>
        <v>24</v>
      </c>
      <c r="J488" t="s">
        <v>10</v>
      </c>
      <c r="K488" t="s">
        <v>13</v>
      </c>
      <c r="L488" t="s">
        <v>17</v>
      </c>
      <c r="M488" t="s">
        <v>11</v>
      </c>
      <c r="N488" t="s">
        <v>15</v>
      </c>
      <c r="O488" t="s">
        <v>25</v>
      </c>
      <c r="P488">
        <v>45</v>
      </c>
      <c r="Q488" t="s">
        <v>50</v>
      </c>
      <c r="R488" t="str">
        <f t="shared" si="45"/>
        <v>8_25__491_02/24/2023_2023_MonMon_PTR_UP_PW_Lys_C_45_Nutri</v>
      </c>
    </row>
    <row r="489" spans="1:18" x14ac:dyDescent="0.25">
      <c r="A489">
        <v>8</v>
      </c>
      <c r="B489">
        <v>26</v>
      </c>
      <c r="D489">
        <v>492</v>
      </c>
      <c r="E489" s="1">
        <v>44981</v>
      </c>
      <c r="F489" s="11">
        <f t="shared" si="44"/>
        <v>44981</v>
      </c>
      <c r="G489">
        <f t="shared" si="46"/>
        <v>2023</v>
      </c>
      <c r="H489">
        <f t="shared" si="47"/>
        <v>2</v>
      </c>
      <c r="I489">
        <f t="shared" si="43"/>
        <v>24</v>
      </c>
      <c r="J489" t="s">
        <v>10</v>
      </c>
      <c r="K489" t="s">
        <v>13</v>
      </c>
      <c r="L489" t="s">
        <v>14</v>
      </c>
      <c r="M489" t="s">
        <v>26</v>
      </c>
      <c r="N489" t="s">
        <v>18</v>
      </c>
      <c r="O489">
        <v>1</v>
      </c>
      <c r="Q489" t="s">
        <v>50</v>
      </c>
      <c r="R489" t="str">
        <f t="shared" si="45"/>
        <v>8_26__492_02/24/2023_2023_MonMon_PTR_TR_RZ_Rz_1__Nutri</v>
      </c>
    </row>
    <row r="490" spans="1:18" x14ac:dyDescent="0.25">
      <c r="A490">
        <v>8</v>
      </c>
      <c r="B490">
        <v>27</v>
      </c>
      <c r="D490">
        <v>493</v>
      </c>
      <c r="E490" s="1">
        <v>44981</v>
      </c>
      <c r="F490" s="11">
        <f t="shared" si="44"/>
        <v>44981</v>
      </c>
      <c r="G490">
        <f t="shared" si="46"/>
        <v>2023</v>
      </c>
      <c r="H490">
        <f t="shared" si="47"/>
        <v>2</v>
      </c>
      <c r="I490">
        <f t="shared" si="43"/>
        <v>24</v>
      </c>
      <c r="J490" t="s">
        <v>10</v>
      </c>
      <c r="K490" t="s">
        <v>13</v>
      </c>
      <c r="L490" t="s">
        <v>14</v>
      </c>
      <c r="M490" t="s">
        <v>26</v>
      </c>
      <c r="N490" t="s">
        <v>18</v>
      </c>
      <c r="O490">
        <v>2</v>
      </c>
      <c r="Q490" t="s">
        <v>50</v>
      </c>
      <c r="R490" t="str">
        <f t="shared" si="45"/>
        <v>8_27__493_02/24/2023_2023_MonMon_PTR_TR_RZ_Rz_2__Nutri</v>
      </c>
    </row>
    <row r="491" spans="1:18" x14ac:dyDescent="0.25">
      <c r="A491">
        <v>8</v>
      </c>
      <c r="B491">
        <v>28</v>
      </c>
      <c r="D491">
        <v>494</v>
      </c>
      <c r="E491" s="1">
        <v>44981</v>
      </c>
      <c r="F491" s="11">
        <f t="shared" si="44"/>
        <v>44981</v>
      </c>
      <c r="G491">
        <f t="shared" si="46"/>
        <v>2023</v>
      </c>
      <c r="H491">
        <f t="shared" si="47"/>
        <v>2</v>
      </c>
      <c r="I491">
        <f t="shared" si="43"/>
        <v>24</v>
      </c>
      <c r="J491" t="s">
        <v>10</v>
      </c>
      <c r="K491" t="s">
        <v>13</v>
      </c>
      <c r="L491" t="s">
        <v>14</v>
      </c>
      <c r="M491" t="s">
        <v>26</v>
      </c>
      <c r="N491" t="s">
        <v>18</v>
      </c>
      <c r="O491">
        <v>3</v>
      </c>
      <c r="Q491" t="s">
        <v>50</v>
      </c>
      <c r="R491" t="str">
        <f t="shared" si="45"/>
        <v>8_28__494_02/24/2023_2023_MonMon_PTR_TR_RZ_Rz_3__Nutri</v>
      </c>
    </row>
    <row r="492" spans="1:18" x14ac:dyDescent="0.25">
      <c r="A492">
        <v>8</v>
      </c>
      <c r="B492">
        <v>29</v>
      </c>
      <c r="D492">
        <v>495</v>
      </c>
      <c r="E492" s="1">
        <v>44981</v>
      </c>
      <c r="F492" s="11">
        <f t="shared" si="44"/>
        <v>44981</v>
      </c>
      <c r="G492">
        <f t="shared" si="46"/>
        <v>2023</v>
      </c>
      <c r="H492">
        <f t="shared" si="47"/>
        <v>2</v>
      </c>
      <c r="I492">
        <f t="shared" si="43"/>
        <v>24</v>
      </c>
      <c r="J492" t="s">
        <v>10</v>
      </c>
      <c r="K492" t="s">
        <v>13</v>
      </c>
      <c r="L492" t="s">
        <v>14</v>
      </c>
      <c r="M492" t="s">
        <v>26</v>
      </c>
      <c r="N492" t="s">
        <v>18</v>
      </c>
      <c r="O492">
        <v>4</v>
      </c>
      <c r="Q492" t="s">
        <v>50</v>
      </c>
      <c r="R492" t="str">
        <f t="shared" si="45"/>
        <v>8_29__495_02/24/2023_2023_MonMon_PTR_TR_RZ_Rz_4__Nutri</v>
      </c>
    </row>
    <row r="493" spans="1:18" x14ac:dyDescent="0.25">
      <c r="A493">
        <v>8</v>
      </c>
      <c r="B493">
        <v>30</v>
      </c>
      <c r="D493">
        <v>496</v>
      </c>
      <c r="E493" s="1">
        <v>44981</v>
      </c>
      <c r="F493" s="11">
        <f t="shared" si="44"/>
        <v>44981</v>
      </c>
      <c r="G493">
        <f t="shared" si="46"/>
        <v>2023</v>
      </c>
      <c r="H493">
        <f t="shared" si="47"/>
        <v>2</v>
      </c>
      <c r="I493">
        <f t="shared" si="43"/>
        <v>24</v>
      </c>
      <c r="J493" t="s">
        <v>10</v>
      </c>
      <c r="K493" t="s">
        <v>13</v>
      </c>
      <c r="L493" t="s">
        <v>14</v>
      </c>
      <c r="M493" t="s">
        <v>26</v>
      </c>
      <c r="N493" t="s">
        <v>18</v>
      </c>
      <c r="O493">
        <v>5</v>
      </c>
      <c r="Q493" t="s">
        <v>50</v>
      </c>
      <c r="R493" t="str">
        <f t="shared" si="45"/>
        <v>8_30__496_02/24/2023_2023_MonMon_PTR_TR_RZ_Rz_5__Nutri</v>
      </c>
    </row>
    <row r="494" spans="1:18" x14ac:dyDescent="0.25">
      <c r="A494">
        <v>8</v>
      </c>
      <c r="B494">
        <v>31</v>
      </c>
      <c r="D494">
        <v>497</v>
      </c>
      <c r="E494" s="1">
        <v>44981</v>
      </c>
      <c r="F494" s="11">
        <f t="shared" si="44"/>
        <v>44981</v>
      </c>
      <c r="G494">
        <f t="shared" si="46"/>
        <v>2023</v>
      </c>
      <c r="H494">
        <f t="shared" si="47"/>
        <v>2</v>
      </c>
      <c r="I494">
        <f t="shared" si="43"/>
        <v>24</v>
      </c>
      <c r="J494" t="s">
        <v>10</v>
      </c>
      <c r="K494" t="s">
        <v>13</v>
      </c>
      <c r="L494" t="s">
        <v>14</v>
      </c>
      <c r="M494" t="s">
        <v>26</v>
      </c>
      <c r="N494" t="s">
        <v>18</v>
      </c>
      <c r="O494">
        <v>6</v>
      </c>
      <c r="Q494" t="s">
        <v>50</v>
      </c>
      <c r="R494" t="str">
        <f t="shared" si="45"/>
        <v>8_31__497_02/24/2023_2023_MonMon_PTR_TR_RZ_Rz_6__Nutri</v>
      </c>
    </row>
    <row r="495" spans="1:18" x14ac:dyDescent="0.25">
      <c r="A495">
        <v>8</v>
      </c>
      <c r="B495">
        <v>32</v>
      </c>
      <c r="D495">
        <v>498</v>
      </c>
      <c r="E495" s="1">
        <v>44981</v>
      </c>
      <c r="F495" s="11">
        <f t="shared" si="44"/>
        <v>44981</v>
      </c>
      <c r="G495">
        <f t="shared" si="46"/>
        <v>2023</v>
      </c>
      <c r="H495">
        <f t="shared" si="47"/>
        <v>2</v>
      </c>
      <c r="I495">
        <f t="shared" si="43"/>
        <v>24</v>
      </c>
      <c r="J495" t="s">
        <v>10</v>
      </c>
      <c r="K495" t="s">
        <v>13</v>
      </c>
      <c r="L495" t="s">
        <v>14</v>
      </c>
      <c r="M495" t="s">
        <v>26</v>
      </c>
      <c r="N495" t="s">
        <v>18</v>
      </c>
      <c r="O495">
        <v>7</v>
      </c>
      <c r="Q495" t="s">
        <v>50</v>
      </c>
      <c r="R495" t="str">
        <f t="shared" si="45"/>
        <v>8_32__498_02/24/2023_2023_MonMon_PTR_TR_RZ_Rz_7__Nutri</v>
      </c>
    </row>
    <row r="496" spans="1:18" x14ac:dyDescent="0.25">
      <c r="A496">
        <v>8</v>
      </c>
      <c r="B496">
        <v>33</v>
      </c>
      <c r="D496">
        <v>499</v>
      </c>
      <c r="E496" s="1">
        <v>44981</v>
      </c>
      <c r="F496" s="11">
        <f t="shared" si="44"/>
        <v>44981</v>
      </c>
      <c r="G496">
        <f t="shared" si="46"/>
        <v>2023</v>
      </c>
      <c r="H496">
        <f t="shared" si="47"/>
        <v>2</v>
      </c>
      <c r="I496">
        <f t="shared" si="43"/>
        <v>24</v>
      </c>
      <c r="J496" t="s">
        <v>10</v>
      </c>
      <c r="K496" t="s">
        <v>13</v>
      </c>
      <c r="L496" t="s">
        <v>14</v>
      </c>
      <c r="M496" t="s">
        <v>26</v>
      </c>
      <c r="N496" t="s">
        <v>18</v>
      </c>
      <c r="O496">
        <v>8</v>
      </c>
      <c r="Q496" t="s">
        <v>50</v>
      </c>
      <c r="R496" t="str">
        <f t="shared" si="45"/>
        <v>8_33__499_02/24/2023_2023_MonMon_PTR_TR_RZ_Rz_8__Nutri</v>
      </c>
    </row>
    <row r="497" spans="1:18" x14ac:dyDescent="0.25">
      <c r="A497">
        <v>8</v>
      </c>
      <c r="B497">
        <v>34</v>
      </c>
      <c r="D497">
        <v>500</v>
      </c>
      <c r="E497" s="1">
        <v>44981</v>
      </c>
      <c r="F497" s="11">
        <f t="shared" si="44"/>
        <v>44981</v>
      </c>
      <c r="G497">
        <f t="shared" si="46"/>
        <v>2023</v>
      </c>
      <c r="H497">
        <f t="shared" si="47"/>
        <v>2</v>
      </c>
      <c r="I497">
        <f t="shared" si="43"/>
        <v>24</v>
      </c>
      <c r="J497" t="s">
        <v>10</v>
      </c>
      <c r="K497" t="s">
        <v>13</v>
      </c>
      <c r="L497" t="s">
        <v>17</v>
      </c>
      <c r="M497" t="s">
        <v>26</v>
      </c>
      <c r="N497" t="s">
        <v>18</v>
      </c>
      <c r="O497">
        <v>1</v>
      </c>
      <c r="Q497" t="s">
        <v>50</v>
      </c>
      <c r="R497" t="str">
        <f t="shared" si="45"/>
        <v>8_34__500_02/24/2023_2023_MonMon_PTR_UP_RZ_Rz_1__Nutri</v>
      </c>
    </row>
    <row r="498" spans="1:18" x14ac:dyDescent="0.25">
      <c r="A498">
        <v>8</v>
      </c>
      <c r="B498">
        <v>35</v>
      </c>
      <c r="D498">
        <v>501</v>
      </c>
      <c r="E498" s="1">
        <v>44981</v>
      </c>
      <c r="F498" s="11">
        <f t="shared" si="44"/>
        <v>44981</v>
      </c>
      <c r="G498">
        <f t="shared" si="46"/>
        <v>2023</v>
      </c>
      <c r="H498">
        <f t="shared" si="47"/>
        <v>2</v>
      </c>
      <c r="I498">
        <f t="shared" si="43"/>
        <v>24</v>
      </c>
      <c r="J498" t="s">
        <v>10</v>
      </c>
      <c r="K498" t="s">
        <v>13</v>
      </c>
      <c r="L498" t="s">
        <v>17</v>
      </c>
      <c r="M498" t="s">
        <v>26</v>
      </c>
      <c r="N498" t="s">
        <v>18</v>
      </c>
      <c r="O498">
        <v>2</v>
      </c>
      <c r="Q498" t="s">
        <v>50</v>
      </c>
      <c r="R498" t="str">
        <f t="shared" si="45"/>
        <v>8_35__501_02/24/2023_2023_MonMon_PTR_UP_RZ_Rz_2__Nutri</v>
      </c>
    </row>
    <row r="499" spans="1:18" x14ac:dyDescent="0.25">
      <c r="A499">
        <v>8</v>
      </c>
      <c r="B499">
        <v>36</v>
      </c>
      <c r="D499">
        <v>502</v>
      </c>
      <c r="E499" s="1">
        <v>44981</v>
      </c>
      <c r="F499" s="11">
        <f t="shared" si="44"/>
        <v>44981</v>
      </c>
      <c r="G499">
        <f t="shared" si="46"/>
        <v>2023</v>
      </c>
      <c r="H499">
        <f t="shared" si="47"/>
        <v>2</v>
      </c>
      <c r="I499">
        <f t="shared" si="43"/>
        <v>24</v>
      </c>
      <c r="J499" t="s">
        <v>10</v>
      </c>
      <c r="K499" t="s">
        <v>13</v>
      </c>
      <c r="L499" t="s">
        <v>17</v>
      </c>
      <c r="M499" t="s">
        <v>26</v>
      </c>
      <c r="N499" t="s">
        <v>18</v>
      </c>
      <c r="O499">
        <v>3</v>
      </c>
      <c r="Q499" t="s">
        <v>50</v>
      </c>
      <c r="R499" t="str">
        <f t="shared" si="45"/>
        <v>8_36__502_02/24/2023_2023_MonMon_PTR_UP_RZ_Rz_3__Nutri</v>
      </c>
    </row>
    <row r="500" spans="1:18" x14ac:dyDescent="0.25">
      <c r="A500">
        <v>8</v>
      </c>
      <c r="B500">
        <v>37</v>
      </c>
      <c r="D500">
        <v>503</v>
      </c>
      <c r="E500" s="1">
        <v>44981</v>
      </c>
      <c r="F500" s="11">
        <f t="shared" si="44"/>
        <v>44981</v>
      </c>
      <c r="G500">
        <f t="shared" si="46"/>
        <v>2023</v>
      </c>
      <c r="H500">
        <f t="shared" si="47"/>
        <v>2</v>
      </c>
      <c r="I500">
        <f t="shared" si="43"/>
        <v>24</v>
      </c>
      <c r="J500" t="s">
        <v>10</v>
      </c>
      <c r="K500" t="s">
        <v>13</v>
      </c>
      <c r="L500" t="s">
        <v>17</v>
      </c>
      <c r="M500" t="s">
        <v>26</v>
      </c>
      <c r="N500" t="s">
        <v>18</v>
      </c>
      <c r="O500">
        <v>4</v>
      </c>
      <c r="Q500" t="s">
        <v>50</v>
      </c>
      <c r="R500" t="str">
        <f t="shared" si="45"/>
        <v>8_37__503_02/24/2023_2023_MonMon_PTR_UP_RZ_Rz_4__Nutri</v>
      </c>
    </row>
    <row r="501" spans="1:18" x14ac:dyDescent="0.25">
      <c r="A501">
        <v>8</v>
      </c>
      <c r="B501">
        <v>38</v>
      </c>
      <c r="D501">
        <v>504</v>
      </c>
      <c r="E501" s="1">
        <v>44981</v>
      </c>
      <c r="F501" s="11">
        <f t="shared" si="44"/>
        <v>44981</v>
      </c>
      <c r="G501">
        <f t="shared" si="46"/>
        <v>2023</v>
      </c>
      <c r="H501">
        <f t="shared" si="47"/>
        <v>2</v>
      </c>
      <c r="I501">
        <f t="shared" si="43"/>
        <v>24</v>
      </c>
      <c r="J501" t="s">
        <v>10</v>
      </c>
      <c r="K501" t="s">
        <v>13</v>
      </c>
      <c r="L501" t="s">
        <v>17</v>
      </c>
      <c r="M501" t="s">
        <v>26</v>
      </c>
      <c r="N501" t="s">
        <v>18</v>
      </c>
      <c r="O501">
        <v>5</v>
      </c>
      <c r="Q501" t="s">
        <v>50</v>
      </c>
      <c r="R501" t="str">
        <f t="shared" si="45"/>
        <v>8_38__504_02/24/2023_2023_MonMon_PTR_UP_RZ_Rz_5__Nutri</v>
      </c>
    </row>
    <row r="502" spans="1:18" x14ac:dyDescent="0.25">
      <c r="A502">
        <v>8</v>
      </c>
      <c r="B502">
        <v>39</v>
      </c>
      <c r="D502">
        <v>505</v>
      </c>
      <c r="E502" s="1">
        <v>44981</v>
      </c>
      <c r="F502" s="11">
        <f t="shared" si="44"/>
        <v>44981</v>
      </c>
      <c r="G502">
        <f t="shared" si="46"/>
        <v>2023</v>
      </c>
      <c r="H502">
        <f t="shared" si="47"/>
        <v>2</v>
      </c>
      <c r="I502">
        <f t="shared" si="43"/>
        <v>24</v>
      </c>
      <c r="J502" t="s">
        <v>10</v>
      </c>
      <c r="K502" t="s">
        <v>13</v>
      </c>
      <c r="L502" t="s">
        <v>17</v>
      </c>
      <c r="M502" t="s">
        <v>26</v>
      </c>
      <c r="N502" t="s">
        <v>18</v>
      </c>
      <c r="O502">
        <v>6</v>
      </c>
      <c r="Q502" t="s">
        <v>50</v>
      </c>
      <c r="R502" t="str">
        <f t="shared" si="45"/>
        <v>8_39__505_02/24/2023_2023_MonMon_PTR_UP_RZ_Rz_6__Nutri</v>
      </c>
    </row>
    <row r="503" spans="1:18" x14ac:dyDescent="0.25">
      <c r="A503">
        <v>8</v>
      </c>
      <c r="B503">
        <v>40</v>
      </c>
      <c r="D503">
        <v>506</v>
      </c>
      <c r="E503" s="1">
        <v>44981</v>
      </c>
      <c r="F503" s="11">
        <f t="shared" si="44"/>
        <v>44981</v>
      </c>
      <c r="G503">
        <f t="shared" si="46"/>
        <v>2023</v>
      </c>
      <c r="H503">
        <f t="shared" si="47"/>
        <v>2</v>
      </c>
      <c r="I503">
        <f t="shared" si="43"/>
        <v>24</v>
      </c>
      <c r="J503" t="s">
        <v>10</v>
      </c>
      <c r="K503" t="s">
        <v>13</v>
      </c>
      <c r="L503" t="s">
        <v>17</v>
      </c>
      <c r="M503" t="s">
        <v>26</v>
      </c>
      <c r="N503" t="s">
        <v>18</v>
      </c>
      <c r="O503">
        <v>7</v>
      </c>
      <c r="Q503" t="s">
        <v>50</v>
      </c>
      <c r="R503" t="str">
        <f t="shared" si="45"/>
        <v>8_40__506_02/24/2023_2023_MonMon_PTR_UP_RZ_Rz_7__Nutri</v>
      </c>
    </row>
    <row r="504" spans="1:18" x14ac:dyDescent="0.25">
      <c r="A504">
        <v>8</v>
      </c>
      <c r="B504">
        <v>41</v>
      </c>
      <c r="D504">
        <v>507</v>
      </c>
      <c r="E504" s="1">
        <v>44981</v>
      </c>
      <c r="F504" s="11">
        <f t="shared" si="44"/>
        <v>44981</v>
      </c>
      <c r="G504">
        <f t="shared" si="46"/>
        <v>2023</v>
      </c>
      <c r="H504">
        <f t="shared" si="47"/>
        <v>2</v>
      </c>
      <c r="I504">
        <f t="shared" si="43"/>
        <v>24</v>
      </c>
      <c r="J504" t="s">
        <v>10</v>
      </c>
      <c r="K504" t="s">
        <v>13</v>
      </c>
      <c r="L504" t="s">
        <v>17</v>
      </c>
      <c r="M504" t="s">
        <v>26</v>
      </c>
      <c r="N504" t="s">
        <v>18</v>
      </c>
      <c r="O504">
        <v>8</v>
      </c>
      <c r="Q504" t="s">
        <v>50</v>
      </c>
      <c r="R504" t="str">
        <f t="shared" si="45"/>
        <v>8_41__507_02/24/2023_2023_MonMon_PTR_UP_RZ_Rz_8__Nutri</v>
      </c>
    </row>
    <row r="505" spans="1:18" s="6" customFormat="1" x14ac:dyDescent="0.25">
      <c r="A505" s="6">
        <v>8</v>
      </c>
      <c r="B505" s="6">
        <v>42</v>
      </c>
      <c r="D505" s="6">
        <v>508</v>
      </c>
      <c r="E505" s="7">
        <v>44981</v>
      </c>
      <c r="F505" s="11">
        <f t="shared" si="44"/>
        <v>44981</v>
      </c>
      <c r="G505" s="6">
        <f t="shared" si="46"/>
        <v>2023</v>
      </c>
      <c r="H505" s="6">
        <f t="shared" si="47"/>
        <v>2</v>
      </c>
      <c r="I505" s="6">
        <f t="shared" si="43"/>
        <v>24</v>
      </c>
      <c r="J505" s="6" t="s">
        <v>10</v>
      </c>
      <c r="K505" s="6" t="s">
        <v>13</v>
      </c>
      <c r="M505" s="6" t="s">
        <v>28</v>
      </c>
      <c r="O505" s="6" t="s">
        <v>23</v>
      </c>
      <c r="Q505" s="6" t="s">
        <v>50</v>
      </c>
      <c r="R505" t="str">
        <f t="shared" si="45"/>
        <v>8_42__508_02/24/2023_2023_MonMon_PTR__OW__A__Nutri</v>
      </c>
    </row>
    <row r="506" spans="1:18" s="6" customFormat="1" x14ac:dyDescent="0.25">
      <c r="A506" s="6">
        <v>8</v>
      </c>
      <c r="B506" s="6">
        <v>43</v>
      </c>
      <c r="D506" s="6">
        <v>509</v>
      </c>
      <c r="E506" s="7">
        <v>44981</v>
      </c>
      <c r="F506" s="11">
        <f t="shared" si="44"/>
        <v>44981</v>
      </c>
      <c r="G506" s="6">
        <f t="shared" si="46"/>
        <v>2023</v>
      </c>
      <c r="H506" s="6">
        <f t="shared" si="47"/>
        <v>2</v>
      </c>
      <c r="I506" s="6">
        <f t="shared" si="43"/>
        <v>24</v>
      </c>
      <c r="J506" s="6" t="s">
        <v>10</v>
      </c>
      <c r="K506" s="6" t="s">
        <v>13</v>
      </c>
      <c r="M506" s="6" t="s">
        <v>28</v>
      </c>
      <c r="O506" s="6" t="s">
        <v>24</v>
      </c>
      <c r="Q506" s="6" t="s">
        <v>50</v>
      </c>
      <c r="R506" t="str">
        <f t="shared" si="45"/>
        <v>8_43__509_02/24/2023_2023_MonMon_PTR__OW__B__Nutri</v>
      </c>
    </row>
    <row r="507" spans="1:18" s="6" customFormat="1" x14ac:dyDescent="0.25">
      <c r="A507" s="6">
        <v>8</v>
      </c>
      <c r="B507" s="6">
        <v>44</v>
      </c>
      <c r="D507" s="6">
        <v>510</v>
      </c>
      <c r="E507" s="7">
        <v>44981</v>
      </c>
      <c r="F507" s="11">
        <f t="shared" si="44"/>
        <v>44981</v>
      </c>
      <c r="G507" s="6">
        <f t="shared" si="46"/>
        <v>2023</v>
      </c>
      <c r="H507" s="6">
        <f t="shared" si="47"/>
        <v>2</v>
      </c>
      <c r="I507" s="6">
        <f t="shared" ref="I507:I570" si="48">DAY(E507)</f>
        <v>24</v>
      </c>
      <c r="J507" s="6" t="s">
        <v>10</v>
      </c>
      <c r="K507" s="6" t="s">
        <v>13</v>
      </c>
      <c r="M507" s="6" t="s">
        <v>28</v>
      </c>
      <c r="O507" s="6" t="s">
        <v>25</v>
      </c>
      <c r="Q507" s="6" t="s">
        <v>50</v>
      </c>
      <c r="R507" t="str">
        <f t="shared" si="45"/>
        <v>8_44__510_02/24/2023_2023_MonMon_PTR__OW__C__Nutri</v>
      </c>
    </row>
    <row r="508" spans="1:18" x14ac:dyDescent="0.25">
      <c r="A508">
        <v>8</v>
      </c>
      <c r="B508">
        <v>45</v>
      </c>
      <c r="D508">
        <v>511</v>
      </c>
      <c r="E508" s="1">
        <v>45009</v>
      </c>
      <c r="F508" s="11">
        <f t="shared" si="44"/>
        <v>45009</v>
      </c>
      <c r="G508">
        <f t="shared" si="46"/>
        <v>2023</v>
      </c>
      <c r="H508">
        <f t="shared" si="47"/>
        <v>3</v>
      </c>
      <c r="I508">
        <f t="shared" si="48"/>
        <v>24</v>
      </c>
      <c r="J508" t="s">
        <v>10</v>
      </c>
      <c r="K508" t="s">
        <v>16</v>
      </c>
      <c r="L508" t="s">
        <v>9</v>
      </c>
      <c r="M508" t="s">
        <v>11</v>
      </c>
      <c r="N508" t="s">
        <v>27</v>
      </c>
      <c r="O508" t="s">
        <v>23</v>
      </c>
      <c r="P508">
        <v>10</v>
      </c>
      <c r="Q508" t="s">
        <v>50</v>
      </c>
      <c r="R508" t="str">
        <f t="shared" si="45"/>
        <v>8_45__511_03/24/2023_2023_MonMon_CRC_W_PW_Sip_A_10_Nutri</v>
      </c>
    </row>
    <row r="509" spans="1:18" x14ac:dyDescent="0.25">
      <c r="A509">
        <v>8</v>
      </c>
      <c r="B509">
        <v>46</v>
      </c>
      <c r="D509">
        <v>512</v>
      </c>
      <c r="E509" s="1">
        <v>45009</v>
      </c>
      <c r="F509" s="11">
        <f t="shared" si="44"/>
        <v>45009</v>
      </c>
      <c r="G509">
        <f t="shared" si="46"/>
        <v>2023</v>
      </c>
      <c r="H509">
        <f t="shared" si="47"/>
        <v>3</v>
      </c>
      <c r="I509">
        <f t="shared" si="48"/>
        <v>24</v>
      </c>
      <c r="J509" t="s">
        <v>10</v>
      </c>
      <c r="K509" t="s">
        <v>16</v>
      </c>
      <c r="L509" t="s">
        <v>9</v>
      </c>
      <c r="M509" t="s">
        <v>11</v>
      </c>
      <c r="N509" t="s">
        <v>27</v>
      </c>
      <c r="O509" t="s">
        <v>23</v>
      </c>
      <c r="P509">
        <v>20</v>
      </c>
      <c r="Q509" t="s">
        <v>50</v>
      </c>
      <c r="R509" t="str">
        <f t="shared" si="45"/>
        <v>8_46__512_03/24/2023_2023_MonMon_CRC_W_PW_Sip_A_20_Nutri</v>
      </c>
    </row>
    <row r="510" spans="1:18" x14ac:dyDescent="0.25">
      <c r="A510">
        <v>8</v>
      </c>
      <c r="B510">
        <v>47</v>
      </c>
      <c r="D510">
        <v>513</v>
      </c>
      <c r="E510" s="1">
        <v>45009</v>
      </c>
      <c r="F510" s="11">
        <f t="shared" si="44"/>
        <v>45009</v>
      </c>
      <c r="G510">
        <f t="shared" si="46"/>
        <v>2023</v>
      </c>
      <c r="H510">
        <f t="shared" si="47"/>
        <v>3</v>
      </c>
      <c r="I510">
        <f t="shared" si="48"/>
        <v>24</v>
      </c>
      <c r="J510" t="s">
        <v>10</v>
      </c>
      <c r="K510" t="s">
        <v>16</v>
      </c>
      <c r="L510" t="s">
        <v>9</v>
      </c>
      <c r="M510" t="s">
        <v>11</v>
      </c>
      <c r="N510" t="s">
        <v>27</v>
      </c>
      <c r="O510" t="s">
        <v>23</v>
      </c>
      <c r="P510">
        <v>45</v>
      </c>
      <c r="Q510" t="s">
        <v>50</v>
      </c>
      <c r="R510" t="str">
        <f t="shared" si="45"/>
        <v>8_47__513_03/24/2023_2023_MonMon_CRC_W_PW_Sip_A_45_Nutri</v>
      </c>
    </row>
    <row r="511" spans="1:18" x14ac:dyDescent="0.25">
      <c r="A511">
        <v>8</v>
      </c>
      <c r="B511">
        <v>48</v>
      </c>
      <c r="D511">
        <v>514</v>
      </c>
      <c r="E511" s="1">
        <v>45009</v>
      </c>
      <c r="F511" s="11">
        <f t="shared" si="44"/>
        <v>45009</v>
      </c>
      <c r="G511">
        <f t="shared" si="46"/>
        <v>2023</v>
      </c>
      <c r="H511">
        <f t="shared" si="47"/>
        <v>3</v>
      </c>
      <c r="I511">
        <f t="shared" si="48"/>
        <v>24</v>
      </c>
      <c r="J511" t="s">
        <v>10</v>
      </c>
      <c r="K511" t="s">
        <v>16</v>
      </c>
      <c r="L511" t="s">
        <v>9</v>
      </c>
      <c r="M511" t="s">
        <v>11</v>
      </c>
      <c r="N511" t="s">
        <v>27</v>
      </c>
      <c r="O511" t="s">
        <v>24</v>
      </c>
      <c r="P511">
        <v>10</v>
      </c>
      <c r="Q511" t="s">
        <v>50</v>
      </c>
      <c r="R511" t="str">
        <f t="shared" si="45"/>
        <v>8_48__514_03/24/2023_2023_MonMon_CRC_W_PW_Sip_B_10_Nutri</v>
      </c>
    </row>
    <row r="512" spans="1:18" x14ac:dyDescent="0.25">
      <c r="A512">
        <v>8</v>
      </c>
      <c r="B512">
        <v>49</v>
      </c>
      <c r="D512">
        <v>515</v>
      </c>
      <c r="E512" s="1">
        <v>45009</v>
      </c>
      <c r="F512" s="11">
        <f t="shared" si="44"/>
        <v>45009</v>
      </c>
      <c r="G512">
        <f t="shared" si="46"/>
        <v>2023</v>
      </c>
      <c r="H512">
        <f t="shared" si="47"/>
        <v>3</v>
      </c>
      <c r="I512">
        <f t="shared" si="48"/>
        <v>24</v>
      </c>
      <c r="J512" t="s">
        <v>10</v>
      </c>
      <c r="K512" t="s">
        <v>16</v>
      </c>
      <c r="L512" t="s">
        <v>9</v>
      </c>
      <c r="M512" t="s">
        <v>11</v>
      </c>
      <c r="N512" t="s">
        <v>27</v>
      </c>
      <c r="O512" t="s">
        <v>24</v>
      </c>
      <c r="P512">
        <v>20</v>
      </c>
      <c r="Q512" t="s">
        <v>50</v>
      </c>
      <c r="R512" t="str">
        <f t="shared" si="45"/>
        <v>8_49__515_03/24/2023_2023_MonMon_CRC_W_PW_Sip_B_20_Nutri</v>
      </c>
    </row>
    <row r="513" spans="1:18" x14ac:dyDescent="0.25">
      <c r="A513">
        <v>8</v>
      </c>
      <c r="B513">
        <v>50</v>
      </c>
      <c r="D513">
        <v>516</v>
      </c>
      <c r="E513" s="1">
        <v>45009</v>
      </c>
      <c r="F513" s="11">
        <f t="shared" si="44"/>
        <v>45009</v>
      </c>
      <c r="G513">
        <f t="shared" si="46"/>
        <v>2023</v>
      </c>
      <c r="H513">
        <f t="shared" si="47"/>
        <v>3</v>
      </c>
      <c r="I513">
        <f t="shared" si="48"/>
        <v>24</v>
      </c>
      <c r="J513" t="s">
        <v>10</v>
      </c>
      <c r="K513" t="s">
        <v>16</v>
      </c>
      <c r="L513" t="s">
        <v>9</v>
      </c>
      <c r="M513" t="s">
        <v>11</v>
      </c>
      <c r="N513" t="s">
        <v>27</v>
      </c>
      <c r="O513" t="s">
        <v>24</v>
      </c>
      <c r="P513">
        <v>45</v>
      </c>
      <c r="Q513" t="s">
        <v>50</v>
      </c>
      <c r="R513" t="str">
        <f t="shared" si="45"/>
        <v>8_50__516_03/24/2023_2023_MonMon_CRC_W_PW_Sip_B_45_Nutri</v>
      </c>
    </row>
    <row r="514" spans="1:18" x14ac:dyDescent="0.25">
      <c r="A514">
        <v>8</v>
      </c>
      <c r="B514">
        <v>51</v>
      </c>
      <c r="D514">
        <v>517</v>
      </c>
      <c r="E514" s="1">
        <v>45009</v>
      </c>
      <c r="F514" s="11">
        <f t="shared" si="44"/>
        <v>45009</v>
      </c>
      <c r="G514">
        <f t="shared" si="46"/>
        <v>2023</v>
      </c>
      <c r="H514">
        <f t="shared" si="47"/>
        <v>3</v>
      </c>
      <c r="I514">
        <f t="shared" si="48"/>
        <v>24</v>
      </c>
      <c r="J514" t="s">
        <v>10</v>
      </c>
      <c r="K514" t="s">
        <v>16</v>
      </c>
      <c r="L514" t="s">
        <v>9</v>
      </c>
      <c r="M514" t="s">
        <v>11</v>
      </c>
      <c r="N514" t="s">
        <v>27</v>
      </c>
      <c r="O514" t="s">
        <v>25</v>
      </c>
      <c r="P514">
        <v>10</v>
      </c>
      <c r="Q514" t="s">
        <v>50</v>
      </c>
      <c r="R514" t="str">
        <f t="shared" si="45"/>
        <v>8_51__517_03/24/2023_2023_MonMon_CRC_W_PW_Sip_C_10_Nutri</v>
      </c>
    </row>
    <row r="515" spans="1:18" x14ac:dyDescent="0.25">
      <c r="A515">
        <v>8</v>
      </c>
      <c r="B515">
        <v>52</v>
      </c>
      <c r="D515">
        <v>518</v>
      </c>
      <c r="E515" s="1">
        <v>45009</v>
      </c>
      <c r="F515" s="11">
        <f t="shared" ref="F515:F578" si="49">E515</f>
        <v>45009</v>
      </c>
      <c r="G515">
        <f t="shared" si="46"/>
        <v>2023</v>
      </c>
      <c r="H515">
        <f t="shared" si="47"/>
        <v>3</v>
      </c>
      <c r="I515">
        <f t="shared" si="48"/>
        <v>24</v>
      </c>
      <c r="J515" t="s">
        <v>10</v>
      </c>
      <c r="K515" t="s">
        <v>16</v>
      </c>
      <c r="L515" t="s">
        <v>9</v>
      </c>
      <c r="M515" t="s">
        <v>11</v>
      </c>
      <c r="N515" t="s">
        <v>27</v>
      </c>
      <c r="O515" t="s">
        <v>25</v>
      </c>
      <c r="P515">
        <v>20</v>
      </c>
      <c r="Q515" t="s">
        <v>50</v>
      </c>
      <c r="R515" t="str">
        <f t="shared" ref="R515:R578" si="50">CONCATENATE(A515,"_",B515,"_", C515,"_",D515,"_",TEXT(E515, "mm/dd/yyyy"),"_",G515,"_",J515,"_",K515,"_",L515,"_",M515,"_",N515,"_",O515,"_",P515,"_",Q515)</f>
        <v>8_52__518_03/24/2023_2023_MonMon_CRC_W_PW_Sip_C_20_Nutri</v>
      </c>
    </row>
    <row r="516" spans="1:18" x14ac:dyDescent="0.25">
      <c r="A516">
        <v>8</v>
      </c>
      <c r="B516">
        <v>53</v>
      </c>
      <c r="D516">
        <v>519</v>
      </c>
      <c r="E516" s="1">
        <v>45009</v>
      </c>
      <c r="F516" s="11">
        <f t="shared" si="49"/>
        <v>45009</v>
      </c>
      <c r="G516">
        <f t="shared" si="46"/>
        <v>2023</v>
      </c>
      <c r="H516">
        <f t="shared" si="47"/>
        <v>3</v>
      </c>
      <c r="I516">
        <f t="shared" si="48"/>
        <v>24</v>
      </c>
      <c r="J516" t="s">
        <v>10</v>
      </c>
      <c r="K516" t="s">
        <v>16</v>
      </c>
      <c r="L516" t="s">
        <v>9</v>
      </c>
      <c r="M516" t="s">
        <v>11</v>
      </c>
      <c r="N516" t="s">
        <v>27</v>
      </c>
      <c r="O516" t="s">
        <v>25</v>
      </c>
      <c r="P516">
        <v>45</v>
      </c>
      <c r="Q516" t="s">
        <v>50</v>
      </c>
      <c r="R516" t="str">
        <f t="shared" si="50"/>
        <v>8_53__519_03/24/2023_2023_MonMon_CRC_W_PW_Sip_C_45_Nutri</v>
      </c>
    </row>
    <row r="517" spans="1:18" x14ac:dyDescent="0.25">
      <c r="A517">
        <v>8</v>
      </c>
      <c r="B517">
        <v>54</v>
      </c>
      <c r="D517">
        <v>520</v>
      </c>
      <c r="E517" s="1">
        <v>45009</v>
      </c>
      <c r="F517" s="11">
        <f t="shared" si="49"/>
        <v>45009</v>
      </c>
      <c r="G517">
        <f t="shared" ref="G517:G580" si="51">YEAR(E517)</f>
        <v>2023</v>
      </c>
      <c r="H517">
        <f t="shared" ref="H517:H580" si="52">MONTH(E517)</f>
        <v>3</v>
      </c>
      <c r="I517">
        <f t="shared" si="48"/>
        <v>24</v>
      </c>
      <c r="J517" t="s">
        <v>10</v>
      </c>
      <c r="K517" t="s">
        <v>16</v>
      </c>
      <c r="L517" t="s">
        <v>14</v>
      </c>
      <c r="M517" t="s">
        <v>11</v>
      </c>
      <c r="N517" t="s">
        <v>15</v>
      </c>
      <c r="O517" t="s">
        <v>23</v>
      </c>
      <c r="P517">
        <v>10</v>
      </c>
      <c r="Q517" t="s">
        <v>50</v>
      </c>
      <c r="R517" t="str">
        <f t="shared" si="50"/>
        <v>8_54__520_03/24/2023_2023_MonMon_CRC_TR_PW_Lys_A_10_Nutri</v>
      </c>
    </row>
    <row r="518" spans="1:18" x14ac:dyDescent="0.25">
      <c r="A518">
        <v>8</v>
      </c>
      <c r="B518">
        <v>55</v>
      </c>
      <c r="D518">
        <v>521</v>
      </c>
      <c r="E518" s="1">
        <v>45009</v>
      </c>
      <c r="F518" s="11">
        <f t="shared" si="49"/>
        <v>45009</v>
      </c>
      <c r="G518">
        <f t="shared" si="51"/>
        <v>2023</v>
      </c>
      <c r="H518">
        <f t="shared" si="52"/>
        <v>3</v>
      </c>
      <c r="I518">
        <f t="shared" si="48"/>
        <v>24</v>
      </c>
      <c r="J518" t="s">
        <v>10</v>
      </c>
      <c r="K518" t="s">
        <v>16</v>
      </c>
      <c r="L518" t="s">
        <v>14</v>
      </c>
      <c r="M518" t="s">
        <v>11</v>
      </c>
      <c r="N518" t="s">
        <v>15</v>
      </c>
      <c r="O518" t="s">
        <v>23</v>
      </c>
      <c r="P518">
        <v>20</v>
      </c>
      <c r="Q518" t="s">
        <v>50</v>
      </c>
      <c r="R518" t="str">
        <f t="shared" si="50"/>
        <v>8_55__521_03/24/2023_2023_MonMon_CRC_TR_PW_Lys_A_20_Nutri</v>
      </c>
    </row>
    <row r="519" spans="1:18" x14ac:dyDescent="0.25">
      <c r="A519">
        <v>8</v>
      </c>
      <c r="B519">
        <v>56</v>
      </c>
      <c r="D519">
        <v>522</v>
      </c>
      <c r="E519" s="1">
        <v>45009</v>
      </c>
      <c r="F519" s="11">
        <f t="shared" si="49"/>
        <v>45009</v>
      </c>
      <c r="G519">
        <f t="shared" si="51"/>
        <v>2023</v>
      </c>
      <c r="H519">
        <f t="shared" si="52"/>
        <v>3</v>
      </c>
      <c r="I519">
        <f t="shared" si="48"/>
        <v>24</v>
      </c>
      <c r="J519" t="s">
        <v>10</v>
      </c>
      <c r="K519" t="s">
        <v>16</v>
      </c>
      <c r="L519" t="s">
        <v>14</v>
      </c>
      <c r="M519" t="s">
        <v>11</v>
      </c>
      <c r="N519" t="s">
        <v>15</v>
      </c>
      <c r="O519" t="s">
        <v>23</v>
      </c>
      <c r="P519">
        <v>45</v>
      </c>
      <c r="Q519" t="s">
        <v>50</v>
      </c>
      <c r="R519" t="str">
        <f t="shared" si="50"/>
        <v>8_56__522_03/24/2023_2023_MonMon_CRC_TR_PW_Lys_A_45_Nutri</v>
      </c>
    </row>
    <row r="520" spans="1:18" x14ac:dyDescent="0.25">
      <c r="A520">
        <v>8</v>
      </c>
      <c r="B520">
        <v>57</v>
      </c>
      <c r="D520">
        <v>523</v>
      </c>
      <c r="E520" s="1">
        <v>45009</v>
      </c>
      <c r="F520" s="11">
        <f t="shared" si="49"/>
        <v>45009</v>
      </c>
      <c r="G520">
        <f t="shared" si="51"/>
        <v>2023</v>
      </c>
      <c r="H520">
        <f t="shared" si="52"/>
        <v>3</v>
      </c>
      <c r="I520">
        <f t="shared" si="48"/>
        <v>24</v>
      </c>
      <c r="J520" t="s">
        <v>10</v>
      </c>
      <c r="K520" t="s">
        <v>16</v>
      </c>
      <c r="L520" t="s">
        <v>14</v>
      </c>
      <c r="M520" t="s">
        <v>11</v>
      </c>
      <c r="N520" t="s">
        <v>15</v>
      </c>
      <c r="O520" t="s">
        <v>24</v>
      </c>
      <c r="P520">
        <v>10</v>
      </c>
      <c r="Q520" t="s">
        <v>50</v>
      </c>
      <c r="R520" t="str">
        <f t="shared" si="50"/>
        <v>8_57__523_03/24/2023_2023_MonMon_CRC_TR_PW_Lys_B_10_Nutri</v>
      </c>
    </row>
    <row r="521" spans="1:18" x14ac:dyDescent="0.25">
      <c r="A521">
        <v>8</v>
      </c>
      <c r="B521">
        <v>58</v>
      </c>
      <c r="D521">
        <v>524</v>
      </c>
      <c r="E521" s="1">
        <v>45009</v>
      </c>
      <c r="F521" s="11">
        <f t="shared" si="49"/>
        <v>45009</v>
      </c>
      <c r="G521">
        <f t="shared" si="51"/>
        <v>2023</v>
      </c>
      <c r="H521">
        <f t="shared" si="52"/>
        <v>3</v>
      </c>
      <c r="I521">
        <f t="shared" si="48"/>
        <v>24</v>
      </c>
      <c r="J521" t="s">
        <v>10</v>
      </c>
      <c r="K521" t="s">
        <v>16</v>
      </c>
      <c r="L521" t="s">
        <v>14</v>
      </c>
      <c r="M521" t="s">
        <v>11</v>
      </c>
      <c r="N521" t="s">
        <v>15</v>
      </c>
      <c r="O521" t="s">
        <v>24</v>
      </c>
      <c r="P521">
        <v>20</v>
      </c>
      <c r="Q521" t="s">
        <v>50</v>
      </c>
      <c r="R521" t="str">
        <f t="shared" si="50"/>
        <v>8_58__524_03/24/2023_2023_MonMon_CRC_TR_PW_Lys_B_20_Nutri</v>
      </c>
    </row>
    <row r="522" spans="1:18" x14ac:dyDescent="0.25">
      <c r="A522">
        <v>8</v>
      </c>
      <c r="B522">
        <v>59</v>
      </c>
      <c r="D522">
        <v>525</v>
      </c>
      <c r="E522" s="1">
        <v>45009</v>
      </c>
      <c r="F522" s="11">
        <f t="shared" si="49"/>
        <v>45009</v>
      </c>
      <c r="G522">
        <f t="shared" si="51"/>
        <v>2023</v>
      </c>
      <c r="H522">
        <f t="shared" si="52"/>
        <v>3</v>
      </c>
      <c r="I522">
        <f t="shared" si="48"/>
        <v>24</v>
      </c>
      <c r="J522" t="s">
        <v>10</v>
      </c>
      <c r="K522" t="s">
        <v>16</v>
      </c>
      <c r="L522" t="s">
        <v>14</v>
      </c>
      <c r="M522" t="s">
        <v>11</v>
      </c>
      <c r="N522" t="s">
        <v>15</v>
      </c>
      <c r="O522" t="s">
        <v>24</v>
      </c>
      <c r="P522">
        <v>45</v>
      </c>
      <c r="Q522" t="s">
        <v>50</v>
      </c>
      <c r="R522" t="str">
        <f t="shared" si="50"/>
        <v>8_59__525_03/24/2023_2023_MonMon_CRC_TR_PW_Lys_B_45_Nutri</v>
      </c>
    </row>
    <row r="523" spans="1:18" x14ac:dyDescent="0.25">
      <c r="A523">
        <v>8</v>
      </c>
      <c r="B523">
        <v>60</v>
      </c>
      <c r="D523">
        <v>526</v>
      </c>
      <c r="E523" s="1">
        <v>45009</v>
      </c>
      <c r="F523" s="11">
        <f t="shared" si="49"/>
        <v>45009</v>
      </c>
      <c r="G523">
        <f t="shared" si="51"/>
        <v>2023</v>
      </c>
      <c r="H523">
        <f t="shared" si="52"/>
        <v>3</v>
      </c>
      <c r="I523">
        <f t="shared" si="48"/>
        <v>24</v>
      </c>
      <c r="J523" t="s">
        <v>10</v>
      </c>
      <c r="K523" t="s">
        <v>16</v>
      </c>
      <c r="L523" t="s">
        <v>14</v>
      </c>
      <c r="M523" t="s">
        <v>11</v>
      </c>
      <c r="N523" t="s">
        <v>15</v>
      </c>
      <c r="O523" t="s">
        <v>25</v>
      </c>
      <c r="P523">
        <v>10</v>
      </c>
      <c r="Q523" t="s">
        <v>50</v>
      </c>
      <c r="R523" t="str">
        <f t="shared" si="50"/>
        <v>8_60__526_03/24/2023_2023_MonMon_CRC_TR_PW_Lys_C_10_Nutri</v>
      </c>
    </row>
    <row r="524" spans="1:18" x14ac:dyDescent="0.25">
      <c r="A524">
        <v>8</v>
      </c>
      <c r="B524">
        <v>61</v>
      </c>
      <c r="D524">
        <v>527</v>
      </c>
      <c r="E524" s="1">
        <v>45009</v>
      </c>
      <c r="F524" s="11">
        <f t="shared" si="49"/>
        <v>45009</v>
      </c>
      <c r="G524">
        <f t="shared" si="51"/>
        <v>2023</v>
      </c>
      <c r="H524">
        <f t="shared" si="52"/>
        <v>3</v>
      </c>
      <c r="I524">
        <f t="shared" si="48"/>
        <v>24</v>
      </c>
      <c r="J524" t="s">
        <v>10</v>
      </c>
      <c r="K524" t="s">
        <v>16</v>
      </c>
      <c r="L524" t="s">
        <v>14</v>
      </c>
      <c r="M524" t="s">
        <v>11</v>
      </c>
      <c r="N524" t="s">
        <v>15</v>
      </c>
      <c r="O524" t="s">
        <v>25</v>
      </c>
      <c r="P524">
        <v>20</v>
      </c>
      <c r="Q524" t="s">
        <v>50</v>
      </c>
      <c r="R524" t="str">
        <f t="shared" si="50"/>
        <v>8_61__527_03/24/2023_2023_MonMon_CRC_TR_PW_Lys_C_20_Nutri</v>
      </c>
    </row>
    <row r="525" spans="1:18" x14ac:dyDescent="0.25">
      <c r="A525">
        <v>8</v>
      </c>
      <c r="B525">
        <v>62</v>
      </c>
      <c r="D525">
        <v>528</v>
      </c>
      <c r="E525" s="1">
        <v>45009</v>
      </c>
      <c r="F525" s="11">
        <f t="shared" si="49"/>
        <v>45009</v>
      </c>
      <c r="G525">
        <f t="shared" si="51"/>
        <v>2023</v>
      </c>
      <c r="H525">
        <f t="shared" si="52"/>
        <v>3</v>
      </c>
      <c r="I525">
        <f t="shared" si="48"/>
        <v>24</v>
      </c>
      <c r="J525" t="s">
        <v>10</v>
      </c>
      <c r="K525" t="s">
        <v>16</v>
      </c>
      <c r="L525" t="s">
        <v>14</v>
      </c>
      <c r="M525" t="s">
        <v>11</v>
      </c>
      <c r="N525" t="s">
        <v>15</v>
      </c>
      <c r="O525" t="s">
        <v>25</v>
      </c>
      <c r="P525">
        <v>45</v>
      </c>
      <c r="Q525" t="s">
        <v>50</v>
      </c>
      <c r="R525" t="str">
        <f t="shared" si="50"/>
        <v>8_62__528_03/24/2023_2023_MonMon_CRC_TR_PW_Lys_C_45_Nutri</v>
      </c>
    </row>
    <row r="526" spans="1:18" x14ac:dyDescent="0.25">
      <c r="A526">
        <v>8</v>
      </c>
      <c r="B526">
        <v>63</v>
      </c>
      <c r="D526">
        <v>529</v>
      </c>
      <c r="E526" s="1">
        <v>45009</v>
      </c>
      <c r="F526" s="11">
        <f t="shared" si="49"/>
        <v>45009</v>
      </c>
      <c r="G526">
        <f t="shared" si="51"/>
        <v>2023</v>
      </c>
      <c r="H526">
        <f t="shared" si="52"/>
        <v>3</v>
      </c>
      <c r="I526">
        <f t="shared" si="48"/>
        <v>24</v>
      </c>
      <c r="J526" t="s">
        <v>10</v>
      </c>
      <c r="K526" t="s">
        <v>16</v>
      </c>
      <c r="L526" t="s">
        <v>17</v>
      </c>
      <c r="M526" t="s">
        <v>11</v>
      </c>
      <c r="N526" t="s">
        <v>15</v>
      </c>
      <c r="O526" t="s">
        <v>23</v>
      </c>
      <c r="P526">
        <v>10</v>
      </c>
      <c r="Q526" t="s">
        <v>50</v>
      </c>
      <c r="R526" t="str">
        <f t="shared" si="50"/>
        <v>8_63__529_03/24/2023_2023_MonMon_CRC_UP_PW_Lys_A_10_Nutri</v>
      </c>
    </row>
    <row r="527" spans="1:18" x14ac:dyDescent="0.25">
      <c r="A527">
        <v>8</v>
      </c>
      <c r="B527">
        <v>64</v>
      </c>
      <c r="D527">
        <v>530</v>
      </c>
      <c r="E527" s="1">
        <v>45009</v>
      </c>
      <c r="F527" s="11">
        <f t="shared" si="49"/>
        <v>45009</v>
      </c>
      <c r="G527">
        <f t="shared" si="51"/>
        <v>2023</v>
      </c>
      <c r="H527">
        <f t="shared" si="52"/>
        <v>3</v>
      </c>
      <c r="I527">
        <f t="shared" si="48"/>
        <v>24</v>
      </c>
      <c r="J527" t="s">
        <v>10</v>
      </c>
      <c r="K527" t="s">
        <v>16</v>
      </c>
      <c r="L527" t="s">
        <v>17</v>
      </c>
      <c r="M527" t="s">
        <v>11</v>
      </c>
      <c r="N527" t="s">
        <v>15</v>
      </c>
      <c r="O527" t="s">
        <v>24</v>
      </c>
      <c r="P527">
        <v>10</v>
      </c>
      <c r="Q527" t="s">
        <v>50</v>
      </c>
      <c r="R527" t="str">
        <f t="shared" si="50"/>
        <v>8_64__530_03/24/2023_2023_MonMon_CRC_UP_PW_Lys_B_10_Nutri</v>
      </c>
    </row>
    <row r="528" spans="1:18" x14ac:dyDescent="0.25">
      <c r="A528">
        <v>8</v>
      </c>
      <c r="B528">
        <v>65</v>
      </c>
      <c r="D528">
        <v>531</v>
      </c>
      <c r="E528" s="1">
        <v>45009</v>
      </c>
      <c r="F528" s="11">
        <f t="shared" si="49"/>
        <v>45009</v>
      </c>
      <c r="G528">
        <f t="shared" si="51"/>
        <v>2023</v>
      </c>
      <c r="H528">
        <f t="shared" si="52"/>
        <v>3</v>
      </c>
      <c r="I528">
        <f t="shared" si="48"/>
        <v>24</v>
      </c>
      <c r="J528" t="s">
        <v>10</v>
      </c>
      <c r="K528" t="s">
        <v>16</v>
      </c>
      <c r="L528" t="s">
        <v>17</v>
      </c>
      <c r="M528" t="s">
        <v>11</v>
      </c>
      <c r="N528" t="s">
        <v>15</v>
      </c>
      <c r="O528" t="s">
        <v>24</v>
      </c>
      <c r="P528">
        <v>45</v>
      </c>
      <c r="Q528" t="s">
        <v>50</v>
      </c>
      <c r="R528" t="str">
        <f t="shared" si="50"/>
        <v>8_65__531_03/24/2023_2023_MonMon_CRC_UP_PW_Lys_B_45_Nutri</v>
      </c>
    </row>
    <row r="529" spans="1:18" x14ac:dyDescent="0.25">
      <c r="A529">
        <v>8</v>
      </c>
      <c r="B529">
        <v>66</v>
      </c>
      <c r="D529">
        <v>532</v>
      </c>
      <c r="E529" s="1">
        <v>45009</v>
      </c>
      <c r="F529" s="11">
        <f t="shared" si="49"/>
        <v>45009</v>
      </c>
      <c r="G529">
        <f t="shared" si="51"/>
        <v>2023</v>
      </c>
      <c r="H529">
        <f t="shared" si="52"/>
        <v>3</v>
      </c>
      <c r="I529">
        <f t="shared" si="48"/>
        <v>24</v>
      </c>
      <c r="J529" t="s">
        <v>10</v>
      </c>
      <c r="K529" t="s">
        <v>16</v>
      </c>
      <c r="L529" t="s">
        <v>17</v>
      </c>
      <c r="M529" t="s">
        <v>11</v>
      </c>
      <c r="N529" t="s">
        <v>15</v>
      </c>
      <c r="O529" t="s">
        <v>25</v>
      </c>
      <c r="P529">
        <v>10</v>
      </c>
      <c r="Q529" t="s">
        <v>50</v>
      </c>
      <c r="R529" t="str">
        <f t="shared" si="50"/>
        <v>8_66__532_03/24/2023_2023_MonMon_CRC_UP_PW_Lys_C_10_Nutri</v>
      </c>
    </row>
    <row r="530" spans="1:18" x14ac:dyDescent="0.25">
      <c r="A530">
        <v>8</v>
      </c>
      <c r="B530">
        <v>67</v>
      </c>
      <c r="D530">
        <v>533</v>
      </c>
      <c r="E530" s="1">
        <v>45009</v>
      </c>
      <c r="F530" s="11">
        <f t="shared" si="49"/>
        <v>45009</v>
      </c>
      <c r="G530">
        <f t="shared" si="51"/>
        <v>2023</v>
      </c>
      <c r="H530">
        <f t="shared" si="52"/>
        <v>3</v>
      </c>
      <c r="I530">
        <f t="shared" si="48"/>
        <v>24</v>
      </c>
      <c r="J530" t="s">
        <v>10</v>
      </c>
      <c r="K530" t="s">
        <v>16</v>
      </c>
      <c r="L530" t="s">
        <v>17</v>
      </c>
      <c r="M530" t="s">
        <v>11</v>
      </c>
      <c r="N530" t="s">
        <v>15</v>
      </c>
      <c r="O530" t="s">
        <v>25</v>
      </c>
      <c r="P530">
        <v>20</v>
      </c>
      <c r="Q530" t="s">
        <v>50</v>
      </c>
      <c r="R530" t="str">
        <f t="shared" si="50"/>
        <v>8_67__533_03/24/2023_2023_MonMon_CRC_UP_PW_Lys_C_20_Nutri</v>
      </c>
    </row>
    <row r="531" spans="1:18" x14ac:dyDescent="0.25">
      <c r="A531">
        <v>8</v>
      </c>
      <c r="B531">
        <v>68</v>
      </c>
      <c r="D531">
        <v>534</v>
      </c>
      <c r="E531" s="1">
        <v>45009</v>
      </c>
      <c r="F531" s="11">
        <f t="shared" si="49"/>
        <v>45009</v>
      </c>
      <c r="G531">
        <f t="shared" si="51"/>
        <v>2023</v>
      </c>
      <c r="H531">
        <f t="shared" si="52"/>
        <v>3</v>
      </c>
      <c r="I531">
        <f t="shared" si="48"/>
        <v>24</v>
      </c>
      <c r="J531" t="s">
        <v>10</v>
      </c>
      <c r="K531" t="s">
        <v>16</v>
      </c>
      <c r="L531" t="s">
        <v>17</v>
      </c>
      <c r="M531" t="s">
        <v>11</v>
      </c>
      <c r="N531" t="s">
        <v>15</v>
      </c>
      <c r="O531" t="s">
        <v>25</v>
      </c>
      <c r="P531">
        <v>45</v>
      </c>
      <c r="Q531" t="s">
        <v>50</v>
      </c>
      <c r="R531" t="str">
        <f t="shared" si="50"/>
        <v>8_68__534_03/24/2023_2023_MonMon_CRC_UP_PW_Lys_C_45_Nutri</v>
      </c>
    </row>
    <row r="532" spans="1:18" x14ac:dyDescent="0.25">
      <c r="A532">
        <v>8</v>
      </c>
      <c r="B532">
        <v>69</v>
      </c>
      <c r="D532">
        <v>535</v>
      </c>
      <c r="E532" s="1">
        <v>45009</v>
      </c>
      <c r="F532" s="11">
        <f t="shared" si="49"/>
        <v>45009</v>
      </c>
      <c r="G532">
        <f t="shared" si="51"/>
        <v>2023</v>
      </c>
      <c r="H532">
        <f t="shared" si="52"/>
        <v>3</v>
      </c>
      <c r="I532">
        <f t="shared" si="48"/>
        <v>24</v>
      </c>
      <c r="J532" t="s">
        <v>10</v>
      </c>
      <c r="K532" t="s">
        <v>16</v>
      </c>
      <c r="L532" t="s">
        <v>14</v>
      </c>
      <c r="M532" t="s">
        <v>26</v>
      </c>
      <c r="N532" t="s">
        <v>18</v>
      </c>
      <c r="O532">
        <v>1</v>
      </c>
      <c r="Q532" t="s">
        <v>50</v>
      </c>
      <c r="R532" t="str">
        <f t="shared" si="50"/>
        <v>8_69__535_03/24/2023_2023_MonMon_CRC_TR_RZ_Rz_1__Nutri</v>
      </c>
    </row>
    <row r="533" spans="1:18" x14ac:dyDescent="0.25">
      <c r="A533">
        <v>8</v>
      </c>
      <c r="B533">
        <v>70</v>
      </c>
      <c r="D533">
        <v>536</v>
      </c>
      <c r="E533" s="1">
        <v>45009</v>
      </c>
      <c r="F533" s="11">
        <f t="shared" si="49"/>
        <v>45009</v>
      </c>
      <c r="G533">
        <f t="shared" si="51"/>
        <v>2023</v>
      </c>
      <c r="H533">
        <f t="shared" si="52"/>
        <v>3</v>
      </c>
      <c r="I533">
        <f t="shared" si="48"/>
        <v>24</v>
      </c>
      <c r="J533" t="s">
        <v>10</v>
      </c>
      <c r="K533" t="s">
        <v>16</v>
      </c>
      <c r="L533" t="s">
        <v>14</v>
      </c>
      <c r="M533" t="s">
        <v>26</v>
      </c>
      <c r="N533" t="s">
        <v>18</v>
      </c>
      <c r="O533">
        <v>2</v>
      </c>
      <c r="Q533" t="s">
        <v>50</v>
      </c>
      <c r="R533" t="str">
        <f t="shared" si="50"/>
        <v>8_70__536_03/24/2023_2023_MonMon_CRC_TR_RZ_Rz_2__Nutri</v>
      </c>
    </row>
    <row r="534" spans="1:18" x14ac:dyDescent="0.25">
      <c r="A534">
        <v>8</v>
      </c>
      <c r="B534">
        <v>71</v>
      </c>
      <c r="D534">
        <v>537</v>
      </c>
      <c r="E534" s="1">
        <v>45009</v>
      </c>
      <c r="F534" s="11">
        <f t="shared" si="49"/>
        <v>45009</v>
      </c>
      <c r="G534">
        <f t="shared" si="51"/>
        <v>2023</v>
      </c>
      <c r="H534">
        <f t="shared" si="52"/>
        <v>3</v>
      </c>
      <c r="I534">
        <f t="shared" si="48"/>
        <v>24</v>
      </c>
      <c r="J534" t="s">
        <v>10</v>
      </c>
      <c r="K534" t="s">
        <v>16</v>
      </c>
      <c r="L534" t="s">
        <v>14</v>
      </c>
      <c r="M534" t="s">
        <v>26</v>
      </c>
      <c r="N534" t="s">
        <v>18</v>
      </c>
      <c r="O534">
        <v>3</v>
      </c>
      <c r="Q534" t="s">
        <v>50</v>
      </c>
      <c r="R534" t="str">
        <f t="shared" si="50"/>
        <v>8_71__537_03/24/2023_2023_MonMon_CRC_TR_RZ_Rz_3__Nutri</v>
      </c>
    </row>
    <row r="535" spans="1:18" x14ac:dyDescent="0.25">
      <c r="A535">
        <v>8</v>
      </c>
      <c r="B535">
        <v>72</v>
      </c>
      <c r="D535">
        <v>538</v>
      </c>
      <c r="E535" s="1">
        <v>45009</v>
      </c>
      <c r="F535" s="11">
        <f t="shared" si="49"/>
        <v>45009</v>
      </c>
      <c r="G535">
        <f t="shared" si="51"/>
        <v>2023</v>
      </c>
      <c r="H535">
        <f t="shared" si="52"/>
        <v>3</v>
      </c>
      <c r="I535">
        <f t="shared" si="48"/>
        <v>24</v>
      </c>
      <c r="J535" t="s">
        <v>10</v>
      </c>
      <c r="K535" t="s">
        <v>16</v>
      </c>
      <c r="L535" t="s">
        <v>14</v>
      </c>
      <c r="M535" t="s">
        <v>26</v>
      </c>
      <c r="N535" t="s">
        <v>18</v>
      </c>
      <c r="O535">
        <v>4</v>
      </c>
      <c r="Q535" t="s">
        <v>50</v>
      </c>
      <c r="R535" t="str">
        <f t="shared" si="50"/>
        <v>8_72__538_03/24/2023_2023_MonMon_CRC_TR_RZ_Rz_4__Nutri</v>
      </c>
    </row>
    <row r="536" spans="1:18" x14ac:dyDescent="0.25">
      <c r="A536">
        <v>8</v>
      </c>
      <c r="B536">
        <v>73</v>
      </c>
      <c r="D536">
        <v>539</v>
      </c>
      <c r="E536" s="1">
        <v>45009</v>
      </c>
      <c r="F536" s="11">
        <f t="shared" si="49"/>
        <v>45009</v>
      </c>
      <c r="G536">
        <f t="shared" si="51"/>
        <v>2023</v>
      </c>
      <c r="H536">
        <f t="shared" si="52"/>
        <v>3</v>
      </c>
      <c r="I536">
        <f t="shared" si="48"/>
        <v>24</v>
      </c>
      <c r="J536" t="s">
        <v>10</v>
      </c>
      <c r="K536" t="s">
        <v>16</v>
      </c>
      <c r="L536" t="s">
        <v>14</v>
      </c>
      <c r="M536" t="s">
        <v>26</v>
      </c>
      <c r="N536" t="s">
        <v>18</v>
      </c>
      <c r="O536">
        <v>5</v>
      </c>
      <c r="Q536" t="s">
        <v>50</v>
      </c>
      <c r="R536" t="str">
        <f t="shared" si="50"/>
        <v>8_73__539_03/24/2023_2023_MonMon_CRC_TR_RZ_Rz_5__Nutri</v>
      </c>
    </row>
    <row r="537" spans="1:18" x14ac:dyDescent="0.25">
      <c r="A537">
        <v>8</v>
      </c>
      <c r="B537">
        <v>74</v>
      </c>
      <c r="D537">
        <v>540</v>
      </c>
      <c r="E537" s="1">
        <v>45009</v>
      </c>
      <c r="F537" s="11">
        <f t="shared" si="49"/>
        <v>45009</v>
      </c>
      <c r="G537">
        <f t="shared" si="51"/>
        <v>2023</v>
      </c>
      <c r="H537">
        <f t="shared" si="52"/>
        <v>3</v>
      </c>
      <c r="I537">
        <f t="shared" si="48"/>
        <v>24</v>
      </c>
      <c r="J537" t="s">
        <v>10</v>
      </c>
      <c r="K537" t="s">
        <v>16</v>
      </c>
      <c r="L537" t="s">
        <v>14</v>
      </c>
      <c r="M537" t="s">
        <v>26</v>
      </c>
      <c r="N537" t="s">
        <v>18</v>
      </c>
      <c r="O537">
        <v>6</v>
      </c>
      <c r="Q537" t="s">
        <v>50</v>
      </c>
      <c r="R537" t="str">
        <f t="shared" si="50"/>
        <v>8_74__540_03/24/2023_2023_MonMon_CRC_TR_RZ_Rz_6__Nutri</v>
      </c>
    </row>
    <row r="538" spans="1:18" x14ac:dyDescent="0.25">
      <c r="A538">
        <v>8</v>
      </c>
      <c r="B538">
        <v>75</v>
      </c>
      <c r="D538">
        <v>541</v>
      </c>
      <c r="E538" s="1">
        <v>45009</v>
      </c>
      <c r="F538" s="11">
        <f t="shared" si="49"/>
        <v>45009</v>
      </c>
      <c r="G538">
        <f t="shared" si="51"/>
        <v>2023</v>
      </c>
      <c r="H538">
        <f t="shared" si="52"/>
        <v>3</v>
      </c>
      <c r="I538">
        <f t="shared" si="48"/>
        <v>24</v>
      </c>
      <c r="J538" t="s">
        <v>10</v>
      </c>
      <c r="K538" t="s">
        <v>16</v>
      </c>
      <c r="L538" t="s">
        <v>14</v>
      </c>
      <c r="M538" t="s">
        <v>26</v>
      </c>
      <c r="N538" t="s">
        <v>18</v>
      </c>
      <c r="O538">
        <v>7</v>
      </c>
      <c r="Q538" t="s">
        <v>50</v>
      </c>
      <c r="R538" t="str">
        <f t="shared" si="50"/>
        <v>8_75__541_03/24/2023_2023_MonMon_CRC_TR_RZ_Rz_7__Nutri</v>
      </c>
    </row>
    <row r="539" spans="1:18" x14ac:dyDescent="0.25">
      <c r="A539">
        <v>8</v>
      </c>
      <c r="B539">
        <v>76</v>
      </c>
      <c r="D539">
        <v>542</v>
      </c>
      <c r="E539" s="1">
        <v>45009</v>
      </c>
      <c r="F539" s="11">
        <f t="shared" si="49"/>
        <v>45009</v>
      </c>
      <c r="G539">
        <f t="shared" si="51"/>
        <v>2023</v>
      </c>
      <c r="H539">
        <f t="shared" si="52"/>
        <v>3</v>
      </c>
      <c r="I539">
        <f t="shared" si="48"/>
        <v>24</v>
      </c>
      <c r="J539" t="s">
        <v>10</v>
      </c>
      <c r="K539" t="s">
        <v>16</v>
      </c>
      <c r="L539" t="s">
        <v>14</v>
      </c>
      <c r="M539" t="s">
        <v>26</v>
      </c>
      <c r="N539" t="s">
        <v>18</v>
      </c>
      <c r="O539">
        <v>8</v>
      </c>
      <c r="Q539" t="s">
        <v>50</v>
      </c>
      <c r="R539" t="str">
        <f t="shared" si="50"/>
        <v>8_76__542_03/24/2023_2023_MonMon_CRC_TR_RZ_Rz_8__Nutri</v>
      </c>
    </row>
    <row r="540" spans="1:18" x14ac:dyDescent="0.25">
      <c r="A540">
        <v>8</v>
      </c>
      <c r="B540">
        <v>77</v>
      </c>
      <c r="D540">
        <v>543</v>
      </c>
      <c r="E540" s="1">
        <v>45009</v>
      </c>
      <c r="F540" s="11">
        <f t="shared" si="49"/>
        <v>45009</v>
      </c>
      <c r="G540">
        <f t="shared" si="51"/>
        <v>2023</v>
      </c>
      <c r="H540">
        <f t="shared" si="52"/>
        <v>3</v>
      </c>
      <c r="I540">
        <f t="shared" si="48"/>
        <v>24</v>
      </c>
      <c r="J540" t="s">
        <v>10</v>
      </c>
      <c r="K540" t="s">
        <v>16</v>
      </c>
      <c r="L540" t="s">
        <v>17</v>
      </c>
      <c r="M540" t="s">
        <v>26</v>
      </c>
      <c r="N540" t="s">
        <v>18</v>
      </c>
      <c r="O540">
        <v>1</v>
      </c>
      <c r="Q540" t="s">
        <v>50</v>
      </c>
      <c r="R540" t="str">
        <f t="shared" si="50"/>
        <v>8_77__543_03/24/2023_2023_MonMon_CRC_UP_RZ_Rz_1__Nutri</v>
      </c>
    </row>
    <row r="541" spans="1:18" x14ac:dyDescent="0.25">
      <c r="A541">
        <v>8</v>
      </c>
      <c r="B541">
        <v>78</v>
      </c>
      <c r="D541">
        <v>544</v>
      </c>
      <c r="E541" s="1">
        <v>45009</v>
      </c>
      <c r="F541" s="11">
        <f t="shared" si="49"/>
        <v>45009</v>
      </c>
      <c r="G541">
        <f t="shared" si="51"/>
        <v>2023</v>
      </c>
      <c r="H541">
        <f t="shared" si="52"/>
        <v>3</v>
      </c>
      <c r="I541">
        <f t="shared" si="48"/>
        <v>24</v>
      </c>
      <c r="J541" t="s">
        <v>10</v>
      </c>
      <c r="K541" t="s">
        <v>16</v>
      </c>
      <c r="L541" t="s">
        <v>17</v>
      </c>
      <c r="M541" t="s">
        <v>26</v>
      </c>
      <c r="N541" t="s">
        <v>18</v>
      </c>
      <c r="O541">
        <v>3</v>
      </c>
      <c r="Q541" t="s">
        <v>50</v>
      </c>
      <c r="R541" t="str">
        <f t="shared" si="50"/>
        <v>8_78__544_03/24/2023_2023_MonMon_CRC_UP_RZ_Rz_3__Nutri</v>
      </c>
    </row>
    <row r="542" spans="1:18" x14ac:dyDescent="0.25">
      <c r="A542">
        <v>8</v>
      </c>
      <c r="B542">
        <v>79</v>
      </c>
      <c r="D542">
        <v>545</v>
      </c>
      <c r="E542" s="1">
        <v>45009</v>
      </c>
      <c r="F542" s="11">
        <f t="shared" si="49"/>
        <v>45009</v>
      </c>
      <c r="G542">
        <f t="shared" si="51"/>
        <v>2023</v>
      </c>
      <c r="H542">
        <f t="shared" si="52"/>
        <v>3</v>
      </c>
      <c r="I542">
        <f t="shared" si="48"/>
        <v>24</v>
      </c>
      <c r="J542" t="s">
        <v>10</v>
      </c>
      <c r="K542" t="s">
        <v>16</v>
      </c>
      <c r="L542" t="s">
        <v>17</v>
      </c>
      <c r="M542" t="s">
        <v>26</v>
      </c>
      <c r="N542" t="s">
        <v>18</v>
      </c>
      <c r="O542">
        <v>6</v>
      </c>
      <c r="Q542" t="s">
        <v>50</v>
      </c>
      <c r="R542" t="str">
        <f t="shared" si="50"/>
        <v>8_79__545_03/24/2023_2023_MonMon_CRC_UP_RZ_Rz_6__Nutri</v>
      </c>
    </row>
    <row r="543" spans="1:18" x14ac:dyDescent="0.25">
      <c r="A543">
        <v>8</v>
      </c>
      <c r="B543">
        <v>80</v>
      </c>
      <c r="D543">
        <v>546</v>
      </c>
      <c r="E543" s="1">
        <v>45009</v>
      </c>
      <c r="F543" s="11">
        <f t="shared" si="49"/>
        <v>45009</v>
      </c>
      <c r="G543">
        <f t="shared" si="51"/>
        <v>2023</v>
      </c>
      <c r="H543">
        <f t="shared" si="52"/>
        <v>3</v>
      </c>
      <c r="I543">
        <f t="shared" si="48"/>
        <v>24</v>
      </c>
      <c r="J543" t="s">
        <v>10</v>
      </c>
      <c r="K543" t="s">
        <v>16</v>
      </c>
      <c r="L543" t="s">
        <v>17</v>
      </c>
      <c r="M543" t="s">
        <v>26</v>
      </c>
      <c r="N543" t="s">
        <v>18</v>
      </c>
      <c r="O543">
        <v>8</v>
      </c>
      <c r="Q543" t="s">
        <v>50</v>
      </c>
      <c r="R543" t="str">
        <f t="shared" si="50"/>
        <v>8_80__546_03/24/2023_2023_MonMon_CRC_UP_RZ_Rz_8__Nutri</v>
      </c>
    </row>
    <row r="544" spans="1:18" s="6" customFormat="1" x14ac:dyDescent="0.25">
      <c r="A544" s="8">
        <v>8</v>
      </c>
      <c r="B544" s="8">
        <v>81</v>
      </c>
      <c r="C544" s="8"/>
      <c r="D544" s="8">
        <v>547</v>
      </c>
      <c r="E544" s="9">
        <v>45009</v>
      </c>
      <c r="F544" s="11">
        <f t="shared" si="49"/>
        <v>45009</v>
      </c>
      <c r="G544" s="8">
        <f t="shared" si="51"/>
        <v>2023</v>
      </c>
      <c r="H544" s="8">
        <f t="shared" si="52"/>
        <v>3</v>
      </c>
      <c r="I544" s="8">
        <f t="shared" si="48"/>
        <v>24</v>
      </c>
      <c r="J544" s="8" t="s">
        <v>10</v>
      </c>
      <c r="K544" s="8" t="s">
        <v>16</v>
      </c>
      <c r="L544" s="8"/>
      <c r="M544" s="8" t="s">
        <v>28</v>
      </c>
      <c r="O544" s="6" t="s">
        <v>23</v>
      </c>
      <c r="Q544" s="6" t="s">
        <v>50</v>
      </c>
      <c r="R544" t="str">
        <f t="shared" si="50"/>
        <v>8_81__547_03/24/2023_2023_MonMon_CRC__OW__A__Nutri</v>
      </c>
    </row>
    <row r="545" spans="1:18" s="6" customFormat="1" x14ac:dyDescent="0.25">
      <c r="A545" s="8">
        <v>8</v>
      </c>
      <c r="B545" s="8">
        <v>82</v>
      </c>
      <c r="C545" s="8"/>
      <c r="D545" s="8">
        <v>548</v>
      </c>
      <c r="E545" s="9">
        <v>45009</v>
      </c>
      <c r="F545" s="11">
        <f t="shared" si="49"/>
        <v>45009</v>
      </c>
      <c r="G545" s="8">
        <f t="shared" si="51"/>
        <v>2023</v>
      </c>
      <c r="H545" s="8">
        <f t="shared" si="52"/>
        <v>3</v>
      </c>
      <c r="I545" s="8">
        <f t="shared" si="48"/>
        <v>24</v>
      </c>
      <c r="J545" s="8" t="s">
        <v>10</v>
      </c>
      <c r="K545" s="8" t="s">
        <v>16</v>
      </c>
      <c r="L545" s="8"/>
      <c r="M545" s="8" t="s">
        <v>28</v>
      </c>
      <c r="O545" s="6" t="s">
        <v>24</v>
      </c>
      <c r="Q545" s="6" t="s">
        <v>50</v>
      </c>
      <c r="R545" t="str">
        <f t="shared" si="50"/>
        <v>8_82__548_03/24/2023_2023_MonMon_CRC__OW__B__Nutri</v>
      </c>
    </row>
    <row r="546" spans="1:18" s="6" customFormat="1" x14ac:dyDescent="0.25">
      <c r="A546" s="8">
        <v>8</v>
      </c>
      <c r="B546" s="8">
        <v>83</v>
      </c>
      <c r="C546" s="8"/>
      <c r="D546" s="8">
        <v>549</v>
      </c>
      <c r="E546" s="9">
        <v>45009</v>
      </c>
      <c r="F546" s="11">
        <f t="shared" si="49"/>
        <v>45009</v>
      </c>
      <c r="G546" s="8">
        <f t="shared" si="51"/>
        <v>2023</v>
      </c>
      <c r="H546" s="8">
        <f t="shared" si="52"/>
        <v>3</v>
      </c>
      <c r="I546" s="8">
        <f t="shared" si="48"/>
        <v>24</v>
      </c>
      <c r="J546" s="8" t="s">
        <v>10</v>
      </c>
      <c r="K546" s="8" t="s">
        <v>16</v>
      </c>
      <c r="L546" s="8"/>
      <c r="M546" s="8" t="s">
        <v>28</v>
      </c>
      <c r="O546" s="6" t="s">
        <v>25</v>
      </c>
      <c r="Q546" s="6" t="s">
        <v>50</v>
      </c>
      <c r="R546" t="str">
        <f t="shared" si="50"/>
        <v>8_83__549_03/24/2023_2023_MonMon_CRC__OW__C__Nutri</v>
      </c>
    </row>
    <row r="547" spans="1:18" x14ac:dyDescent="0.25">
      <c r="A547">
        <v>8</v>
      </c>
      <c r="B547">
        <v>84</v>
      </c>
      <c r="D547">
        <v>550</v>
      </c>
      <c r="E547" s="1">
        <v>45009</v>
      </c>
      <c r="F547" s="11">
        <f t="shared" si="49"/>
        <v>45009</v>
      </c>
      <c r="G547">
        <f t="shared" si="51"/>
        <v>2023</v>
      </c>
      <c r="H547">
        <f t="shared" si="52"/>
        <v>3</v>
      </c>
      <c r="I547">
        <f t="shared" si="48"/>
        <v>24</v>
      </c>
      <c r="J547" t="s">
        <v>10</v>
      </c>
      <c r="K547" t="s">
        <v>16</v>
      </c>
      <c r="L547" t="s">
        <v>14</v>
      </c>
      <c r="M547" t="s">
        <v>29</v>
      </c>
      <c r="O547" t="s">
        <v>23</v>
      </c>
      <c r="Q547" t="s">
        <v>50</v>
      </c>
      <c r="R547" t="str">
        <f t="shared" si="50"/>
        <v>8_84__550_03/24/2023_2023_MonMon_CRC_TR_Stream__A__Nutri</v>
      </c>
    </row>
    <row r="548" spans="1:18" x14ac:dyDescent="0.25">
      <c r="A548">
        <v>8</v>
      </c>
      <c r="B548">
        <v>85</v>
      </c>
      <c r="D548">
        <v>551</v>
      </c>
      <c r="E548" s="1">
        <v>45009</v>
      </c>
      <c r="F548" s="11">
        <f t="shared" si="49"/>
        <v>45009</v>
      </c>
      <c r="G548">
        <f t="shared" si="51"/>
        <v>2023</v>
      </c>
      <c r="H548">
        <f t="shared" si="52"/>
        <v>3</v>
      </c>
      <c r="I548">
        <f t="shared" si="48"/>
        <v>24</v>
      </c>
      <c r="J548" t="s">
        <v>10</v>
      </c>
      <c r="K548" t="s">
        <v>16</v>
      </c>
      <c r="L548" t="s">
        <v>14</v>
      </c>
      <c r="M548" t="s">
        <v>29</v>
      </c>
      <c r="O548" t="s">
        <v>24</v>
      </c>
      <c r="Q548" t="s">
        <v>50</v>
      </c>
      <c r="R548" t="str">
        <f t="shared" si="50"/>
        <v>8_85__551_03/24/2023_2023_MonMon_CRC_TR_Stream__B__Nutri</v>
      </c>
    </row>
    <row r="549" spans="1:18" x14ac:dyDescent="0.25">
      <c r="A549">
        <v>8</v>
      </c>
      <c r="B549">
        <v>86</v>
      </c>
      <c r="D549">
        <v>552</v>
      </c>
      <c r="E549" s="1">
        <v>45009</v>
      </c>
      <c r="F549" s="11">
        <f t="shared" si="49"/>
        <v>45009</v>
      </c>
      <c r="G549">
        <f t="shared" si="51"/>
        <v>2023</v>
      </c>
      <c r="H549">
        <f t="shared" si="52"/>
        <v>3</v>
      </c>
      <c r="I549">
        <f t="shared" si="48"/>
        <v>24</v>
      </c>
      <c r="J549" t="s">
        <v>10</v>
      </c>
      <c r="K549" t="s">
        <v>16</v>
      </c>
      <c r="L549" t="s">
        <v>14</v>
      </c>
      <c r="M549" t="s">
        <v>29</v>
      </c>
      <c r="O549" t="s">
        <v>25</v>
      </c>
      <c r="Q549" t="s">
        <v>50</v>
      </c>
      <c r="R549" t="str">
        <f t="shared" si="50"/>
        <v>8_86__552_03/24/2023_2023_MonMon_CRC_TR_Stream__C__Nutri</v>
      </c>
    </row>
    <row r="550" spans="1:18" x14ac:dyDescent="0.25">
      <c r="A550">
        <v>8</v>
      </c>
      <c r="B550">
        <v>87</v>
      </c>
      <c r="D550">
        <v>553</v>
      </c>
      <c r="E550" s="1">
        <v>45009</v>
      </c>
      <c r="F550" s="11">
        <f t="shared" si="49"/>
        <v>45009</v>
      </c>
      <c r="G550">
        <f t="shared" si="51"/>
        <v>2023</v>
      </c>
      <c r="H550">
        <f t="shared" si="52"/>
        <v>3</v>
      </c>
      <c r="I550">
        <f t="shared" si="48"/>
        <v>24</v>
      </c>
      <c r="J550" t="s">
        <v>10</v>
      </c>
      <c r="K550" t="s">
        <v>16</v>
      </c>
      <c r="M550" t="s">
        <v>19</v>
      </c>
      <c r="Q550" t="s">
        <v>50</v>
      </c>
      <c r="R550" t="str">
        <f t="shared" si="50"/>
        <v>8_87__553_03/24/2023_2023_MonMon_CRC__Stand____Nutri</v>
      </c>
    </row>
    <row r="551" spans="1:18" x14ac:dyDescent="0.25">
      <c r="A551">
        <v>9</v>
      </c>
      <c r="B551">
        <v>1</v>
      </c>
      <c r="D551">
        <v>554</v>
      </c>
      <c r="E551" s="1">
        <v>45037</v>
      </c>
      <c r="F551" s="11">
        <f t="shared" si="49"/>
        <v>45037</v>
      </c>
      <c r="G551">
        <f t="shared" si="51"/>
        <v>2023</v>
      </c>
      <c r="H551">
        <f t="shared" si="52"/>
        <v>4</v>
      </c>
      <c r="I551">
        <f t="shared" si="48"/>
        <v>21</v>
      </c>
      <c r="J551" t="s">
        <v>10</v>
      </c>
      <c r="K551" t="s">
        <v>8</v>
      </c>
      <c r="L551" t="s">
        <v>9</v>
      </c>
      <c r="M551" t="s">
        <v>11</v>
      </c>
      <c r="N551" t="s">
        <v>27</v>
      </c>
      <c r="O551" t="s">
        <v>23</v>
      </c>
      <c r="P551">
        <v>10</v>
      </c>
      <c r="Q551" t="s">
        <v>50</v>
      </c>
      <c r="R551" t="str">
        <f t="shared" si="50"/>
        <v>9_1__554_04/21/2023_2023_MonMon_OWC_W_PW_Sip_A_10_Nutri</v>
      </c>
    </row>
    <row r="552" spans="1:18" x14ac:dyDescent="0.25">
      <c r="A552">
        <v>9</v>
      </c>
      <c r="B552">
        <v>2</v>
      </c>
      <c r="D552">
        <v>555</v>
      </c>
      <c r="E552" s="1">
        <v>45037</v>
      </c>
      <c r="F552" s="11">
        <f t="shared" si="49"/>
        <v>45037</v>
      </c>
      <c r="G552">
        <f t="shared" si="51"/>
        <v>2023</v>
      </c>
      <c r="H552">
        <f t="shared" si="52"/>
        <v>4</v>
      </c>
      <c r="I552">
        <f t="shared" si="48"/>
        <v>21</v>
      </c>
      <c r="J552" t="s">
        <v>10</v>
      </c>
      <c r="K552" t="s">
        <v>8</v>
      </c>
      <c r="L552" t="s">
        <v>9</v>
      </c>
      <c r="M552" t="s">
        <v>11</v>
      </c>
      <c r="N552" t="s">
        <v>27</v>
      </c>
      <c r="O552" t="s">
        <v>23</v>
      </c>
      <c r="P552">
        <v>20</v>
      </c>
      <c r="Q552" t="s">
        <v>50</v>
      </c>
      <c r="R552" t="str">
        <f t="shared" si="50"/>
        <v>9_2__555_04/21/2023_2023_MonMon_OWC_W_PW_Sip_A_20_Nutri</v>
      </c>
    </row>
    <row r="553" spans="1:18" x14ac:dyDescent="0.25">
      <c r="A553">
        <v>9</v>
      </c>
      <c r="B553">
        <v>3</v>
      </c>
      <c r="D553">
        <v>556</v>
      </c>
      <c r="E553" s="1">
        <v>45037</v>
      </c>
      <c r="F553" s="11">
        <f t="shared" si="49"/>
        <v>45037</v>
      </c>
      <c r="G553">
        <f t="shared" si="51"/>
        <v>2023</v>
      </c>
      <c r="H553">
        <f t="shared" si="52"/>
        <v>4</v>
      </c>
      <c r="I553">
        <f t="shared" si="48"/>
        <v>21</v>
      </c>
      <c r="J553" t="s">
        <v>10</v>
      </c>
      <c r="K553" t="s">
        <v>8</v>
      </c>
      <c r="L553" t="s">
        <v>9</v>
      </c>
      <c r="M553" t="s">
        <v>11</v>
      </c>
      <c r="N553" t="s">
        <v>27</v>
      </c>
      <c r="O553" t="s">
        <v>23</v>
      </c>
      <c r="P553">
        <v>45</v>
      </c>
      <c r="Q553" t="s">
        <v>50</v>
      </c>
      <c r="R553" t="str">
        <f t="shared" si="50"/>
        <v>9_3__556_04/21/2023_2023_MonMon_OWC_W_PW_Sip_A_45_Nutri</v>
      </c>
    </row>
    <row r="554" spans="1:18" x14ac:dyDescent="0.25">
      <c r="A554">
        <v>9</v>
      </c>
      <c r="B554">
        <v>4</v>
      </c>
      <c r="D554">
        <v>557</v>
      </c>
      <c r="E554" s="1">
        <v>45037</v>
      </c>
      <c r="F554" s="11">
        <f t="shared" si="49"/>
        <v>45037</v>
      </c>
      <c r="G554">
        <f t="shared" si="51"/>
        <v>2023</v>
      </c>
      <c r="H554">
        <f t="shared" si="52"/>
        <v>4</v>
      </c>
      <c r="I554">
        <f t="shared" si="48"/>
        <v>21</v>
      </c>
      <c r="J554" t="s">
        <v>10</v>
      </c>
      <c r="K554" t="s">
        <v>8</v>
      </c>
      <c r="L554" t="s">
        <v>9</v>
      </c>
      <c r="M554" t="s">
        <v>11</v>
      </c>
      <c r="N554" t="s">
        <v>27</v>
      </c>
      <c r="O554" t="s">
        <v>24</v>
      </c>
      <c r="P554">
        <v>10</v>
      </c>
      <c r="Q554" t="s">
        <v>50</v>
      </c>
      <c r="R554" t="str">
        <f t="shared" si="50"/>
        <v>9_4__557_04/21/2023_2023_MonMon_OWC_W_PW_Sip_B_10_Nutri</v>
      </c>
    </row>
    <row r="555" spans="1:18" x14ac:dyDescent="0.25">
      <c r="A555">
        <v>9</v>
      </c>
      <c r="B555">
        <v>5</v>
      </c>
      <c r="D555">
        <v>558</v>
      </c>
      <c r="E555" s="1">
        <v>45037</v>
      </c>
      <c r="F555" s="11">
        <f t="shared" si="49"/>
        <v>45037</v>
      </c>
      <c r="G555">
        <f t="shared" si="51"/>
        <v>2023</v>
      </c>
      <c r="H555">
        <f t="shared" si="52"/>
        <v>4</v>
      </c>
      <c r="I555">
        <f t="shared" si="48"/>
        <v>21</v>
      </c>
      <c r="J555" t="s">
        <v>10</v>
      </c>
      <c r="K555" t="s">
        <v>8</v>
      </c>
      <c r="L555" t="s">
        <v>9</v>
      </c>
      <c r="M555" t="s">
        <v>11</v>
      </c>
      <c r="N555" t="s">
        <v>27</v>
      </c>
      <c r="O555" t="s">
        <v>24</v>
      </c>
      <c r="P555">
        <v>20</v>
      </c>
      <c r="Q555" t="s">
        <v>50</v>
      </c>
      <c r="R555" t="str">
        <f t="shared" si="50"/>
        <v>9_5__558_04/21/2023_2023_MonMon_OWC_W_PW_Sip_B_20_Nutri</v>
      </c>
    </row>
    <row r="556" spans="1:18" x14ac:dyDescent="0.25">
      <c r="A556">
        <v>9</v>
      </c>
      <c r="B556">
        <v>6</v>
      </c>
      <c r="D556">
        <v>559</v>
      </c>
      <c r="E556" s="1">
        <v>45037</v>
      </c>
      <c r="F556" s="11">
        <f t="shared" si="49"/>
        <v>45037</v>
      </c>
      <c r="G556">
        <f t="shared" si="51"/>
        <v>2023</v>
      </c>
      <c r="H556">
        <f t="shared" si="52"/>
        <v>4</v>
      </c>
      <c r="I556">
        <f t="shared" si="48"/>
        <v>21</v>
      </c>
      <c r="J556" t="s">
        <v>10</v>
      </c>
      <c r="K556" t="s">
        <v>8</v>
      </c>
      <c r="L556" t="s">
        <v>9</v>
      </c>
      <c r="M556" t="s">
        <v>11</v>
      </c>
      <c r="N556" t="s">
        <v>27</v>
      </c>
      <c r="O556" t="s">
        <v>24</v>
      </c>
      <c r="P556">
        <v>45</v>
      </c>
      <c r="Q556" t="s">
        <v>50</v>
      </c>
      <c r="R556" t="str">
        <f t="shared" si="50"/>
        <v>9_6__559_04/21/2023_2023_MonMon_OWC_W_PW_Sip_B_45_Nutri</v>
      </c>
    </row>
    <row r="557" spans="1:18" x14ac:dyDescent="0.25">
      <c r="A557">
        <v>9</v>
      </c>
      <c r="B557">
        <v>7</v>
      </c>
      <c r="D557">
        <v>560</v>
      </c>
      <c r="E557" s="1">
        <v>45037</v>
      </c>
      <c r="F557" s="11">
        <f t="shared" si="49"/>
        <v>45037</v>
      </c>
      <c r="G557">
        <f t="shared" si="51"/>
        <v>2023</v>
      </c>
      <c r="H557">
        <f t="shared" si="52"/>
        <v>4</v>
      </c>
      <c r="I557">
        <f t="shared" si="48"/>
        <v>21</v>
      </c>
      <c r="J557" t="s">
        <v>10</v>
      </c>
      <c r="K557" t="s">
        <v>8</v>
      </c>
      <c r="L557" t="s">
        <v>9</v>
      </c>
      <c r="M557" t="s">
        <v>11</v>
      </c>
      <c r="N557" t="s">
        <v>27</v>
      </c>
      <c r="O557" t="s">
        <v>25</v>
      </c>
      <c r="P557">
        <v>10</v>
      </c>
      <c r="Q557" t="s">
        <v>50</v>
      </c>
      <c r="R557" t="str">
        <f t="shared" si="50"/>
        <v>9_7__560_04/21/2023_2023_MonMon_OWC_W_PW_Sip_C_10_Nutri</v>
      </c>
    </row>
    <row r="558" spans="1:18" x14ac:dyDescent="0.25">
      <c r="A558">
        <v>9</v>
      </c>
      <c r="B558">
        <v>8</v>
      </c>
      <c r="D558">
        <v>561</v>
      </c>
      <c r="E558" s="1">
        <v>45037</v>
      </c>
      <c r="F558" s="11">
        <f t="shared" si="49"/>
        <v>45037</v>
      </c>
      <c r="G558">
        <f t="shared" si="51"/>
        <v>2023</v>
      </c>
      <c r="H558">
        <f t="shared" si="52"/>
        <v>4</v>
      </c>
      <c r="I558">
        <f t="shared" si="48"/>
        <v>21</v>
      </c>
      <c r="J558" t="s">
        <v>10</v>
      </c>
      <c r="K558" t="s">
        <v>8</v>
      </c>
      <c r="L558" t="s">
        <v>9</v>
      </c>
      <c r="M558" t="s">
        <v>11</v>
      </c>
      <c r="N558" t="s">
        <v>27</v>
      </c>
      <c r="O558" t="s">
        <v>25</v>
      </c>
      <c r="P558">
        <v>20</v>
      </c>
      <c r="Q558" t="s">
        <v>50</v>
      </c>
      <c r="R558" t="str">
        <f t="shared" si="50"/>
        <v>9_8__561_04/21/2023_2023_MonMon_OWC_W_PW_Sip_C_20_Nutri</v>
      </c>
    </row>
    <row r="559" spans="1:18" x14ac:dyDescent="0.25">
      <c r="A559">
        <v>9</v>
      </c>
      <c r="B559">
        <v>9</v>
      </c>
      <c r="D559">
        <v>562</v>
      </c>
      <c r="E559" s="1">
        <v>45037</v>
      </c>
      <c r="F559" s="11">
        <f t="shared" si="49"/>
        <v>45037</v>
      </c>
      <c r="G559">
        <f t="shared" si="51"/>
        <v>2023</v>
      </c>
      <c r="H559">
        <f t="shared" si="52"/>
        <v>4</v>
      </c>
      <c r="I559">
        <f t="shared" si="48"/>
        <v>21</v>
      </c>
      <c r="J559" t="s">
        <v>10</v>
      </c>
      <c r="K559" t="s">
        <v>8</v>
      </c>
      <c r="L559" t="s">
        <v>9</v>
      </c>
      <c r="M559" t="s">
        <v>11</v>
      </c>
      <c r="N559" t="s">
        <v>27</v>
      </c>
      <c r="O559" t="s">
        <v>25</v>
      </c>
      <c r="P559">
        <v>45</v>
      </c>
      <c r="Q559" t="s">
        <v>50</v>
      </c>
      <c r="R559" t="str">
        <f t="shared" si="50"/>
        <v>9_9__562_04/21/2023_2023_MonMon_OWC_W_PW_Sip_C_45_Nutri</v>
      </c>
    </row>
    <row r="560" spans="1:18" x14ac:dyDescent="0.25">
      <c r="A560">
        <v>9</v>
      </c>
      <c r="B560">
        <v>10</v>
      </c>
      <c r="D560">
        <v>563</v>
      </c>
      <c r="E560" s="1">
        <v>45037</v>
      </c>
      <c r="F560" s="11">
        <f t="shared" si="49"/>
        <v>45037</v>
      </c>
      <c r="G560">
        <f t="shared" si="51"/>
        <v>2023</v>
      </c>
      <c r="H560">
        <f t="shared" si="52"/>
        <v>4</v>
      </c>
      <c r="I560">
        <f t="shared" si="48"/>
        <v>21</v>
      </c>
      <c r="J560" t="s">
        <v>10</v>
      </c>
      <c r="K560" t="s">
        <v>8</v>
      </c>
      <c r="L560" t="s">
        <v>14</v>
      </c>
      <c r="M560" t="s">
        <v>11</v>
      </c>
      <c r="N560" t="s">
        <v>15</v>
      </c>
      <c r="O560" t="s">
        <v>23</v>
      </c>
      <c r="P560">
        <v>10</v>
      </c>
      <c r="Q560" t="s">
        <v>50</v>
      </c>
      <c r="R560" t="str">
        <f t="shared" si="50"/>
        <v>9_10__563_04/21/2023_2023_MonMon_OWC_TR_PW_Lys_A_10_Nutri</v>
      </c>
    </row>
    <row r="561" spans="1:18" x14ac:dyDescent="0.25">
      <c r="A561">
        <v>9</v>
      </c>
      <c r="B561">
        <v>11</v>
      </c>
      <c r="D561">
        <v>564</v>
      </c>
      <c r="E561" s="1">
        <v>45037</v>
      </c>
      <c r="F561" s="11">
        <f t="shared" si="49"/>
        <v>45037</v>
      </c>
      <c r="G561">
        <f t="shared" si="51"/>
        <v>2023</v>
      </c>
      <c r="H561">
        <f t="shared" si="52"/>
        <v>4</v>
      </c>
      <c r="I561">
        <f t="shared" si="48"/>
        <v>21</v>
      </c>
      <c r="J561" t="s">
        <v>10</v>
      </c>
      <c r="K561" t="s">
        <v>8</v>
      </c>
      <c r="L561" t="s">
        <v>14</v>
      </c>
      <c r="M561" t="s">
        <v>11</v>
      </c>
      <c r="N561" t="s">
        <v>15</v>
      </c>
      <c r="O561" t="s">
        <v>23</v>
      </c>
      <c r="P561">
        <v>20</v>
      </c>
      <c r="Q561" t="s">
        <v>50</v>
      </c>
      <c r="R561" t="str">
        <f t="shared" si="50"/>
        <v>9_11__564_04/21/2023_2023_MonMon_OWC_TR_PW_Lys_A_20_Nutri</v>
      </c>
    </row>
    <row r="562" spans="1:18" x14ac:dyDescent="0.25">
      <c r="A562">
        <v>9</v>
      </c>
      <c r="B562">
        <v>12</v>
      </c>
      <c r="D562">
        <v>565</v>
      </c>
      <c r="E562" s="1">
        <v>45037</v>
      </c>
      <c r="F562" s="11">
        <f t="shared" si="49"/>
        <v>45037</v>
      </c>
      <c r="G562">
        <f t="shared" si="51"/>
        <v>2023</v>
      </c>
      <c r="H562">
        <f t="shared" si="52"/>
        <v>4</v>
      </c>
      <c r="I562">
        <f t="shared" si="48"/>
        <v>21</v>
      </c>
      <c r="J562" t="s">
        <v>10</v>
      </c>
      <c r="K562" t="s">
        <v>8</v>
      </c>
      <c r="L562" t="s">
        <v>14</v>
      </c>
      <c r="M562" t="s">
        <v>11</v>
      </c>
      <c r="N562" t="s">
        <v>15</v>
      </c>
      <c r="O562" t="s">
        <v>23</v>
      </c>
      <c r="P562">
        <v>45</v>
      </c>
      <c r="Q562" t="s">
        <v>50</v>
      </c>
      <c r="R562" t="str">
        <f t="shared" si="50"/>
        <v>9_12__565_04/21/2023_2023_MonMon_OWC_TR_PW_Lys_A_45_Nutri</v>
      </c>
    </row>
    <row r="563" spans="1:18" x14ac:dyDescent="0.25">
      <c r="A563">
        <v>9</v>
      </c>
      <c r="B563">
        <v>13</v>
      </c>
      <c r="D563">
        <v>566</v>
      </c>
      <c r="E563" s="1">
        <v>45037</v>
      </c>
      <c r="F563" s="11">
        <f t="shared" si="49"/>
        <v>45037</v>
      </c>
      <c r="G563">
        <f t="shared" si="51"/>
        <v>2023</v>
      </c>
      <c r="H563">
        <f t="shared" si="52"/>
        <v>4</v>
      </c>
      <c r="I563">
        <f t="shared" si="48"/>
        <v>21</v>
      </c>
      <c r="J563" t="s">
        <v>10</v>
      </c>
      <c r="K563" t="s">
        <v>8</v>
      </c>
      <c r="L563" t="s">
        <v>14</v>
      </c>
      <c r="M563" t="s">
        <v>11</v>
      </c>
      <c r="N563" t="s">
        <v>15</v>
      </c>
      <c r="O563" t="s">
        <v>24</v>
      </c>
      <c r="P563">
        <v>10</v>
      </c>
      <c r="Q563" t="s">
        <v>50</v>
      </c>
      <c r="R563" t="str">
        <f t="shared" si="50"/>
        <v>9_13__566_04/21/2023_2023_MonMon_OWC_TR_PW_Lys_B_10_Nutri</v>
      </c>
    </row>
    <row r="564" spans="1:18" x14ac:dyDescent="0.25">
      <c r="A564">
        <v>9</v>
      </c>
      <c r="B564">
        <v>14</v>
      </c>
      <c r="D564">
        <v>567</v>
      </c>
      <c r="E564" s="1">
        <v>45037</v>
      </c>
      <c r="F564" s="11">
        <f t="shared" si="49"/>
        <v>45037</v>
      </c>
      <c r="G564">
        <f t="shared" si="51"/>
        <v>2023</v>
      </c>
      <c r="H564">
        <f t="shared" si="52"/>
        <v>4</v>
      </c>
      <c r="I564">
        <f t="shared" si="48"/>
        <v>21</v>
      </c>
      <c r="J564" t="s">
        <v>10</v>
      </c>
      <c r="K564" t="s">
        <v>8</v>
      </c>
      <c r="L564" t="s">
        <v>14</v>
      </c>
      <c r="M564" t="s">
        <v>11</v>
      </c>
      <c r="N564" t="s">
        <v>15</v>
      </c>
      <c r="O564" t="s">
        <v>24</v>
      </c>
      <c r="P564">
        <v>20</v>
      </c>
      <c r="Q564" t="s">
        <v>50</v>
      </c>
      <c r="R564" t="str">
        <f t="shared" si="50"/>
        <v>9_14__567_04/21/2023_2023_MonMon_OWC_TR_PW_Lys_B_20_Nutri</v>
      </c>
    </row>
    <row r="565" spans="1:18" x14ac:dyDescent="0.25">
      <c r="A565">
        <v>9</v>
      </c>
      <c r="B565">
        <v>15</v>
      </c>
      <c r="D565">
        <v>568</v>
      </c>
      <c r="E565" s="1">
        <v>45037</v>
      </c>
      <c r="F565" s="11">
        <f t="shared" si="49"/>
        <v>45037</v>
      </c>
      <c r="G565">
        <f t="shared" si="51"/>
        <v>2023</v>
      </c>
      <c r="H565">
        <f t="shared" si="52"/>
        <v>4</v>
      </c>
      <c r="I565">
        <f t="shared" si="48"/>
        <v>21</v>
      </c>
      <c r="J565" t="s">
        <v>10</v>
      </c>
      <c r="K565" t="s">
        <v>8</v>
      </c>
      <c r="L565" t="s">
        <v>14</v>
      </c>
      <c r="M565" t="s">
        <v>11</v>
      </c>
      <c r="N565" t="s">
        <v>15</v>
      </c>
      <c r="O565" t="s">
        <v>24</v>
      </c>
      <c r="P565">
        <v>45</v>
      </c>
      <c r="Q565" t="s">
        <v>50</v>
      </c>
      <c r="R565" t="str">
        <f t="shared" si="50"/>
        <v>9_15__568_04/21/2023_2023_MonMon_OWC_TR_PW_Lys_B_45_Nutri</v>
      </c>
    </row>
    <row r="566" spans="1:18" x14ac:dyDescent="0.25">
      <c r="A566">
        <v>9</v>
      </c>
      <c r="B566">
        <v>16</v>
      </c>
      <c r="D566">
        <v>569</v>
      </c>
      <c r="E566" s="1">
        <v>45037</v>
      </c>
      <c r="F566" s="11">
        <f t="shared" si="49"/>
        <v>45037</v>
      </c>
      <c r="G566">
        <f t="shared" si="51"/>
        <v>2023</v>
      </c>
      <c r="H566">
        <f t="shared" si="52"/>
        <v>4</v>
      </c>
      <c r="I566">
        <f t="shared" si="48"/>
        <v>21</v>
      </c>
      <c r="J566" t="s">
        <v>10</v>
      </c>
      <c r="K566" t="s">
        <v>8</v>
      </c>
      <c r="L566" t="s">
        <v>14</v>
      </c>
      <c r="M566" t="s">
        <v>11</v>
      </c>
      <c r="N566" t="s">
        <v>15</v>
      </c>
      <c r="O566" t="s">
        <v>25</v>
      </c>
      <c r="P566">
        <v>10</v>
      </c>
      <c r="Q566" t="s">
        <v>50</v>
      </c>
      <c r="R566" t="str">
        <f t="shared" si="50"/>
        <v>9_16__569_04/21/2023_2023_MonMon_OWC_TR_PW_Lys_C_10_Nutri</v>
      </c>
    </row>
    <row r="567" spans="1:18" x14ac:dyDescent="0.25">
      <c r="A567">
        <v>9</v>
      </c>
      <c r="B567">
        <v>17</v>
      </c>
      <c r="D567">
        <v>570</v>
      </c>
      <c r="E567" s="1">
        <v>45037</v>
      </c>
      <c r="F567" s="11">
        <f t="shared" si="49"/>
        <v>45037</v>
      </c>
      <c r="G567">
        <f t="shared" si="51"/>
        <v>2023</v>
      </c>
      <c r="H567">
        <f t="shared" si="52"/>
        <v>4</v>
      </c>
      <c r="I567">
        <f t="shared" si="48"/>
        <v>21</v>
      </c>
      <c r="J567" t="s">
        <v>10</v>
      </c>
      <c r="K567" t="s">
        <v>8</v>
      </c>
      <c r="L567" t="s">
        <v>14</v>
      </c>
      <c r="M567" t="s">
        <v>11</v>
      </c>
      <c r="N567" t="s">
        <v>15</v>
      </c>
      <c r="O567" t="s">
        <v>25</v>
      </c>
      <c r="P567">
        <v>20</v>
      </c>
      <c r="Q567" t="s">
        <v>50</v>
      </c>
      <c r="R567" t="str">
        <f t="shared" si="50"/>
        <v>9_17__570_04/21/2023_2023_MonMon_OWC_TR_PW_Lys_C_20_Nutri</v>
      </c>
    </row>
    <row r="568" spans="1:18" x14ac:dyDescent="0.25">
      <c r="A568">
        <v>9</v>
      </c>
      <c r="B568">
        <v>18</v>
      </c>
      <c r="D568">
        <v>571</v>
      </c>
      <c r="E568" s="1">
        <v>45037</v>
      </c>
      <c r="F568" s="11">
        <f t="shared" si="49"/>
        <v>45037</v>
      </c>
      <c r="G568">
        <f t="shared" si="51"/>
        <v>2023</v>
      </c>
      <c r="H568">
        <f t="shared" si="52"/>
        <v>4</v>
      </c>
      <c r="I568">
        <f t="shared" si="48"/>
        <v>21</v>
      </c>
      <c r="J568" t="s">
        <v>10</v>
      </c>
      <c r="K568" t="s">
        <v>8</v>
      </c>
      <c r="L568" t="s">
        <v>14</v>
      </c>
      <c r="M568" t="s">
        <v>11</v>
      </c>
      <c r="N568" t="s">
        <v>15</v>
      </c>
      <c r="O568" t="s">
        <v>25</v>
      </c>
      <c r="P568">
        <v>45</v>
      </c>
      <c r="Q568" t="s">
        <v>50</v>
      </c>
      <c r="R568" t="str">
        <f t="shared" si="50"/>
        <v>9_18__571_04/21/2023_2023_MonMon_OWC_TR_PW_Lys_C_45_Nutri</v>
      </c>
    </row>
    <row r="569" spans="1:18" x14ac:dyDescent="0.25">
      <c r="A569">
        <v>9</v>
      </c>
      <c r="B569">
        <v>19</v>
      </c>
      <c r="D569">
        <v>572</v>
      </c>
      <c r="E569" s="1">
        <v>45037</v>
      </c>
      <c r="F569" s="11">
        <f t="shared" si="49"/>
        <v>45037</v>
      </c>
      <c r="G569">
        <f t="shared" si="51"/>
        <v>2023</v>
      </c>
      <c r="H569">
        <f t="shared" si="52"/>
        <v>4</v>
      </c>
      <c r="I569">
        <f t="shared" si="48"/>
        <v>21</v>
      </c>
      <c r="J569" t="s">
        <v>10</v>
      </c>
      <c r="K569" t="s">
        <v>8</v>
      </c>
      <c r="L569" t="s">
        <v>17</v>
      </c>
      <c r="M569" t="s">
        <v>11</v>
      </c>
      <c r="N569" t="s">
        <v>15</v>
      </c>
      <c r="O569" t="s">
        <v>25</v>
      </c>
      <c r="P569">
        <v>20</v>
      </c>
      <c r="Q569" t="s">
        <v>50</v>
      </c>
      <c r="R569" t="str">
        <f t="shared" si="50"/>
        <v>9_19__572_04/21/2023_2023_MonMon_OWC_UP_PW_Lys_C_20_Nutri</v>
      </c>
    </row>
    <row r="570" spans="1:18" s="6" customFormat="1" x14ac:dyDescent="0.25">
      <c r="A570" s="6">
        <v>9</v>
      </c>
      <c r="B570" s="6">
        <v>20</v>
      </c>
      <c r="D570" s="6">
        <v>573</v>
      </c>
      <c r="E570" s="7">
        <v>45037</v>
      </c>
      <c r="F570" s="11">
        <f t="shared" si="49"/>
        <v>45037</v>
      </c>
      <c r="G570" s="6">
        <f t="shared" si="51"/>
        <v>2023</v>
      </c>
      <c r="H570" s="6">
        <f t="shared" si="52"/>
        <v>4</v>
      </c>
      <c r="I570" s="6">
        <f t="shared" si="48"/>
        <v>21</v>
      </c>
      <c r="J570" s="6" t="s">
        <v>10</v>
      </c>
      <c r="K570" s="6" t="s">
        <v>8</v>
      </c>
      <c r="L570" s="6" t="s">
        <v>28</v>
      </c>
      <c r="M570" s="6" t="s">
        <v>28</v>
      </c>
      <c r="O570" s="6" t="s">
        <v>23</v>
      </c>
      <c r="Q570" s="6" t="s">
        <v>50</v>
      </c>
      <c r="R570" t="str">
        <f t="shared" si="50"/>
        <v>9_20__573_04/21/2023_2023_MonMon_OWC_OW_OW__A__Nutri</v>
      </c>
    </row>
    <row r="571" spans="1:18" s="6" customFormat="1" x14ac:dyDescent="0.25">
      <c r="A571" s="6">
        <v>9</v>
      </c>
      <c r="B571" s="6">
        <v>21</v>
      </c>
      <c r="D571" s="6">
        <v>574</v>
      </c>
      <c r="E571" s="7">
        <v>45037</v>
      </c>
      <c r="F571" s="11">
        <f t="shared" si="49"/>
        <v>45037</v>
      </c>
      <c r="G571" s="6">
        <f t="shared" si="51"/>
        <v>2023</v>
      </c>
      <c r="H571" s="6">
        <f t="shared" si="52"/>
        <v>4</v>
      </c>
      <c r="I571" s="6">
        <f t="shared" ref="I571:I634" si="53">DAY(E571)</f>
        <v>21</v>
      </c>
      <c r="J571" s="6" t="s">
        <v>10</v>
      </c>
      <c r="K571" s="6" t="s">
        <v>8</v>
      </c>
      <c r="L571" s="6" t="s">
        <v>28</v>
      </c>
      <c r="M571" s="6" t="s">
        <v>28</v>
      </c>
      <c r="O571" s="6" t="s">
        <v>24</v>
      </c>
      <c r="Q571" s="6" t="s">
        <v>50</v>
      </c>
      <c r="R571" t="str">
        <f t="shared" si="50"/>
        <v>9_21__574_04/21/2023_2023_MonMon_OWC_OW_OW__B__Nutri</v>
      </c>
    </row>
    <row r="572" spans="1:18" s="6" customFormat="1" x14ac:dyDescent="0.25">
      <c r="A572" s="6">
        <v>9</v>
      </c>
      <c r="B572" s="6">
        <v>22</v>
      </c>
      <c r="D572" s="6">
        <v>575</v>
      </c>
      <c r="E572" s="7">
        <v>45037</v>
      </c>
      <c r="F572" s="11">
        <f t="shared" si="49"/>
        <v>45037</v>
      </c>
      <c r="G572" s="6">
        <f t="shared" si="51"/>
        <v>2023</v>
      </c>
      <c r="H572" s="6">
        <f t="shared" si="52"/>
        <v>4</v>
      </c>
      <c r="I572" s="6">
        <f t="shared" si="53"/>
        <v>21</v>
      </c>
      <c r="J572" s="6" t="s">
        <v>10</v>
      </c>
      <c r="K572" s="6" t="s">
        <v>8</v>
      </c>
      <c r="L572" s="6" t="s">
        <v>28</v>
      </c>
      <c r="M572" s="6" t="s">
        <v>28</v>
      </c>
      <c r="O572" s="6" t="s">
        <v>25</v>
      </c>
      <c r="Q572" s="6" t="s">
        <v>50</v>
      </c>
      <c r="R572" t="str">
        <f t="shared" si="50"/>
        <v>9_22__575_04/21/2023_2023_MonMon_OWC_OW_OW__C__Nutri</v>
      </c>
    </row>
    <row r="573" spans="1:18" x14ac:dyDescent="0.25">
      <c r="A573">
        <v>9</v>
      </c>
      <c r="B573">
        <v>23</v>
      </c>
      <c r="D573">
        <v>576</v>
      </c>
      <c r="E573" s="1">
        <v>45037</v>
      </c>
      <c r="F573" s="11">
        <f t="shared" si="49"/>
        <v>45037</v>
      </c>
      <c r="G573">
        <f t="shared" si="51"/>
        <v>2023</v>
      </c>
      <c r="H573">
        <f t="shared" si="52"/>
        <v>4</v>
      </c>
      <c r="I573">
        <f t="shared" si="53"/>
        <v>21</v>
      </c>
      <c r="J573" t="s">
        <v>10</v>
      </c>
      <c r="K573" t="s">
        <v>8</v>
      </c>
      <c r="L573" t="s">
        <v>9</v>
      </c>
      <c r="M573" t="s">
        <v>29</v>
      </c>
      <c r="O573" t="s">
        <v>23</v>
      </c>
      <c r="Q573" t="s">
        <v>50</v>
      </c>
      <c r="R573" t="str">
        <f t="shared" si="50"/>
        <v>9_23__576_04/21/2023_2023_MonMon_OWC_W_Stream__A__Nutri</v>
      </c>
    </row>
    <row r="574" spans="1:18" x14ac:dyDescent="0.25">
      <c r="A574">
        <v>9</v>
      </c>
      <c r="B574">
        <v>24</v>
      </c>
      <c r="D574">
        <v>577</v>
      </c>
      <c r="E574" s="1">
        <v>45037</v>
      </c>
      <c r="F574" s="11">
        <f t="shared" si="49"/>
        <v>45037</v>
      </c>
      <c r="G574">
        <f t="shared" si="51"/>
        <v>2023</v>
      </c>
      <c r="H574">
        <f t="shared" si="52"/>
        <v>4</v>
      </c>
      <c r="I574">
        <f t="shared" si="53"/>
        <v>21</v>
      </c>
      <c r="J574" t="s">
        <v>10</v>
      </c>
      <c r="K574" t="s">
        <v>8</v>
      </c>
      <c r="L574" t="s">
        <v>9</v>
      </c>
      <c r="M574" t="s">
        <v>29</v>
      </c>
      <c r="O574" t="s">
        <v>24</v>
      </c>
      <c r="Q574" t="s">
        <v>50</v>
      </c>
      <c r="R574" t="str">
        <f t="shared" si="50"/>
        <v>9_24__577_04/21/2023_2023_MonMon_OWC_W_Stream__B__Nutri</v>
      </c>
    </row>
    <row r="575" spans="1:18" x14ac:dyDescent="0.25">
      <c r="A575">
        <v>9</v>
      </c>
      <c r="B575">
        <v>25</v>
      </c>
      <c r="D575">
        <v>578</v>
      </c>
      <c r="E575" s="1">
        <v>45037</v>
      </c>
      <c r="F575" s="11">
        <f t="shared" si="49"/>
        <v>45037</v>
      </c>
      <c r="G575">
        <f t="shared" si="51"/>
        <v>2023</v>
      </c>
      <c r="H575">
        <f t="shared" si="52"/>
        <v>4</v>
      </c>
      <c r="I575">
        <f t="shared" si="53"/>
        <v>21</v>
      </c>
      <c r="J575" t="s">
        <v>10</v>
      </c>
      <c r="K575" t="s">
        <v>8</v>
      </c>
      <c r="L575" t="s">
        <v>9</v>
      </c>
      <c r="M575" t="s">
        <v>29</v>
      </c>
      <c r="O575" t="s">
        <v>25</v>
      </c>
      <c r="Q575" t="s">
        <v>50</v>
      </c>
      <c r="R575" t="str">
        <f t="shared" si="50"/>
        <v>9_25__578_04/21/2023_2023_MonMon_OWC_W_Stream__C__Nutri</v>
      </c>
    </row>
    <row r="576" spans="1:18" x14ac:dyDescent="0.25">
      <c r="A576">
        <v>9</v>
      </c>
      <c r="B576">
        <v>26</v>
      </c>
      <c r="D576">
        <v>579</v>
      </c>
      <c r="E576" s="1">
        <v>45037</v>
      </c>
      <c r="F576" s="11">
        <f t="shared" si="49"/>
        <v>45037</v>
      </c>
      <c r="G576">
        <f t="shared" si="51"/>
        <v>2023</v>
      </c>
      <c r="H576">
        <f t="shared" si="52"/>
        <v>4</v>
      </c>
      <c r="I576">
        <f t="shared" si="53"/>
        <v>21</v>
      </c>
      <c r="J576" t="s">
        <v>10</v>
      </c>
      <c r="K576" t="s">
        <v>8</v>
      </c>
      <c r="L576" t="s">
        <v>14</v>
      </c>
      <c r="M576" t="s">
        <v>29</v>
      </c>
      <c r="O576" t="s">
        <v>23</v>
      </c>
      <c r="Q576" t="s">
        <v>50</v>
      </c>
      <c r="R576" t="str">
        <f t="shared" si="50"/>
        <v>9_26__579_04/21/2023_2023_MonMon_OWC_TR_Stream__A__Nutri</v>
      </c>
    </row>
    <row r="577" spans="1:18" x14ac:dyDescent="0.25">
      <c r="A577">
        <v>9</v>
      </c>
      <c r="B577">
        <v>27</v>
      </c>
      <c r="D577">
        <v>580</v>
      </c>
      <c r="E577" s="1">
        <v>45037</v>
      </c>
      <c r="F577" s="11">
        <f t="shared" si="49"/>
        <v>45037</v>
      </c>
      <c r="G577">
        <f t="shared" si="51"/>
        <v>2023</v>
      </c>
      <c r="H577">
        <f t="shared" si="52"/>
        <v>4</v>
      </c>
      <c r="I577">
        <f t="shared" si="53"/>
        <v>21</v>
      </c>
      <c r="J577" t="s">
        <v>10</v>
      </c>
      <c r="K577" t="s">
        <v>8</v>
      </c>
      <c r="L577" t="s">
        <v>14</v>
      </c>
      <c r="M577" t="s">
        <v>29</v>
      </c>
      <c r="O577" t="s">
        <v>24</v>
      </c>
      <c r="Q577" t="s">
        <v>50</v>
      </c>
      <c r="R577" t="str">
        <f t="shared" si="50"/>
        <v>9_27__580_04/21/2023_2023_MonMon_OWC_TR_Stream__B__Nutri</v>
      </c>
    </row>
    <row r="578" spans="1:18" x14ac:dyDescent="0.25">
      <c r="A578">
        <v>9</v>
      </c>
      <c r="B578">
        <v>28</v>
      </c>
      <c r="D578">
        <v>581</v>
      </c>
      <c r="E578" s="1">
        <v>45037</v>
      </c>
      <c r="F578" s="11">
        <f t="shared" si="49"/>
        <v>45037</v>
      </c>
      <c r="G578">
        <f t="shared" si="51"/>
        <v>2023</v>
      </c>
      <c r="H578">
        <f t="shared" si="52"/>
        <v>4</v>
      </c>
      <c r="I578">
        <f t="shared" si="53"/>
        <v>21</v>
      </c>
      <c r="J578" t="s">
        <v>10</v>
      </c>
      <c r="K578" t="s">
        <v>8</v>
      </c>
      <c r="L578" t="s">
        <v>14</v>
      </c>
      <c r="M578" t="s">
        <v>29</v>
      </c>
      <c r="O578" t="s">
        <v>25</v>
      </c>
      <c r="Q578" t="s">
        <v>50</v>
      </c>
      <c r="R578" t="str">
        <f t="shared" si="50"/>
        <v>9_28__581_04/21/2023_2023_MonMon_OWC_TR_Stream__C__Nutri</v>
      </c>
    </row>
    <row r="579" spans="1:18" x14ac:dyDescent="0.25">
      <c r="A579">
        <v>9</v>
      </c>
      <c r="B579">
        <v>29</v>
      </c>
      <c r="D579">
        <v>582</v>
      </c>
      <c r="E579" s="1">
        <v>45037</v>
      </c>
      <c r="F579" s="11">
        <f t="shared" ref="F579:F642" si="54">E579</f>
        <v>45037</v>
      </c>
      <c r="G579">
        <f t="shared" si="51"/>
        <v>2023</v>
      </c>
      <c r="H579">
        <f t="shared" si="52"/>
        <v>4</v>
      </c>
      <c r="I579">
        <f t="shared" si="53"/>
        <v>21</v>
      </c>
      <c r="J579" t="s">
        <v>10</v>
      </c>
      <c r="K579" t="s">
        <v>8</v>
      </c>
      <c r="L579" t="s">
        <v>14</v>
      </c>
      <c r="M579" t="s">
        <v>26</v>
      </c>
      <c r="N579" t="s">
        <v>18</v>
      </c>
      <c r="O579">
        <v>1</v>
      </c>
      <c r="Q579" t="s">
        <v>50</v>
      </c>
      <c r="R579" t="str">
        <f t="shared" ref="R579:R642" si="55">CONCATENATE(A579,"_",B579,"_", C579,"_",D579,"_",TEXT(E579, "mm/dd/yyyy"),"_",G579,"_",J579,"_",K579,"_",L579,"_",M579,"_",N579,"_",O579,"_",P579,"_",Q579)</f>
        <v>9_29__582_04/21/2023_2023_MonMon_OWC_TR_RZ_Rz_1__Nutri</v>
      </c>
    </row>
    <row r="580" spans="1:18" x14ac:dyDescent="0.25">
      <c r="A580">
        <v>9</v>
      </c>
      <c r="B580">
        <v>30</v>
      </c>
      <c r="D580">
        <v>583</v>
      </c>
      <c r="E580" s="1">
        <v>45037</v>
      </c>
      <c r="F580" s="11">
        <f t="shared" si="54"/>
        <v>45037</v>
      </c>
      <c r="G580">
        <f t="shared" si="51"/>
        <v>2023</v>
      </c>
      <c r="H580">
        <f t="shared" si="52"/>
        <v>4</v>
      </c>
      <c r="I580">
        <f t="shared" si="53"/>
        <v>21</v>
      </c>
      <c r="J580" t="s">
        <v>10</v>
      </c>
      <c r="K580" t="s">
        <v>8</v>
      </c>
      <c r="L580" t="s">
        <v>14</v>
      </c>
      <c r="M580" t="s">
        <v>26</v>
      </c>
      <c r="N580" t="s">
        <v>18</v>
      </c>
      <c r="O580">
        <v>2</v>
      </c>
      <c r="Q580" t="s">
        <v>50</v>
      </c>
      <c r="R580" t="str">
        <f t="shared" si="55"/>
        <v>9_30__583_04/21/2023_2023_MonMon_OWC_TR_RZ_Rz_2__Nutri</v>
      </c>
    </row>
    <row r="581" spans="1:18" x14ac:dyDescent="0.25">
      <c r="A581">
        <v>9</v>
      </c>
      <c r="B581">
        <v>31</v>
      </c>
      <c r="D581">
        <v>584</v>
      </c>
      <c r="E581" s="1">
        <v>45037</v>
      </c>
      <c r="F581" s="11">
        <f t="shared" si="54"/>
        <v>45037</v>
      </c>
      <c r="G581">
        <f t="shared" ref="G581:G644" si="56">YEAR(E581)</f>
        <v>2023</v>
      </c>
      <c r="H581">
        <f t="shared" ref="H581:H644" si="57">MONTH(E581)</f>
        <v>4</v>
      </c>
      <c r="I581">
        <f t="shared" si="53"/>
        <v>21</v>
      </c>
      <c r="J581" t="s">
        <v>10</v>
      </c>
      <c r="K581" t="s">
        <v>8</v>
      </c>
      <c r="L581" t="s">
        <v>14</v>
      </c>
      <c r="M581" t="s">
        <v>26</v>
      </c>
      <c r="N581" t="s">
        <v>18</v>
      </c>
      <c r="O581">
        <v>3</v>
      </c>
      <c r="Q581" t="s">
        <v>50</v>
      </c>
      <c r="R581" t="str">
        <f t="shared" si="55"/>
        <v>9_31__584_04/21/2023_2023_MonMon_OWC_TR_RZ_Rz_3__Nutri</v>
      </c>
    </row>
    <row r="582" spans="1:18" x14ac:dyDescent="0.25">
      <c r="A582">
        <v>9</v>
      </c>
      <c r="B582">
        <v>32</v>
      </c>
      <c r="D582">
        <v>585</v>
      </c>
      <c r="E582" s="1">
        <v>45037</v>
      </c>
      <c r="F582" s="11">
        <f t="shared" si="54"/>
        <v>45037</v>
      </c>
      <c r="G582">
        <f t="shared" si="56"/>
        <v>2023</v>
      </c>
      <c r="H582">
        <f t="shared" si="57"/>
        <v>4</v>
      </c>
      <c r="I582">
        <f t="shared" si="53"/>
        <v>21</v>
      </c>
      <c r="J582" t="s">
        <v>10</v>
      </c>
      <c r="K582" t="s">
        <v>8</v>
      </c>
      <c r="L582" t="s">
        <v>14</v>
      </c>
      <c r="M582" t="s">
        <v>26</v>
      </c>
      <c r="N582" t="s">
        <v>18</v>
      </c>
      <c r="O582">
        <v>4</v>
      </c>
      <c r="Q582" t="s">
        <v>50</v>
      </c>
      <c r="R582" t="str">
        <f t="shared" si="55"/>
        <v>9_32__585_04/21/2023_2023_MonMon_OWC_TR_RZ_Rz_4__Nutri</v>
      </c>
    </row>
    <row r="583" spans="1:18" x14ac:dyDescent="0.25">
      <c r="A583">
        <v>9</v>
      </c>
      <c r="B583">
        <v>33</v>
      </c>
      <c r="D583">
        <v>586</v>
      </c>
      <c r="E583" s="1">
        <v>45037</v>
      </c>
      <c r="F583" s="11">
        <f t="shared" si="54"/>
        <v>45037</v>
      </c>
      <c r="G583">
        <f t="shared" si="56"/>
        <v>2023</v>
      </c>
      <c r="H583">
        <f t="shared" si="57"/>
        <v>4</v>
      </c>
      <c r="I583">
        <f t="shared" si="53"/>
        <v>21</v>
      </c>
      <c r="J583" t="s">
        <v>10</v>
      </c>
      <c r="K583" t="s">
        <v>8</v>
      </c>
      <c r="L583" t="s">
        <v>14</v>
      </c>
      <c r="M583" t="s">
        <v>26</v>
      </c>
      <c r="N583" t="s">
        <v>18</v>
      </c>
      <c r="O583">
        <v>5</v>
      </c>
      <c r="Q583" t="s">
        <v>50</v>
      </c>
      <c r="R583" t="str">
        <f t="shared" si="55"/>
        <v>9_33__586_04/21/2023_2023_MonMon_OWC_TR_RZ_Rz_5__Nutri</v>
      </c>
    </row>
    <row r="584" spans="1:18" x14ac:dyDescent="0.25">
      <c r="A584">
        <v>9</v>
      </c>
      <c r="B584">
        <v>34</v>
      </c>
      <c r="D584">
        <v>587</v>
      </c>
      <c r="E584" s="1">
        <v>45037</v>
      </c>
      <c r="F584" s="11">
        <f t="shared" si="54"/>
        <v>45037</v>
      </c>
      <c r="G584">
        <f t="shared" si="56"/>
        <v>2023</v>
      </c>
      <c r="H584">
        <f t="shared" si="57"/>
        <v>4</v>
      </c>
      <c r="I584">
        <f t="shared" si="53"/>
        <v>21</v>
      </c>
      <c r="J584" t="s">
        <v>10</v>
      </c>
      <c r="K584" t="s">
        <v>8</v>
      </c>
      <c r="L584" t="s">
        <v>14</v>
      </c>
      <c r="M584" t="s">
        <v>26</v>
      </c>
      <c r="N584" t="s">
        <v>18</v>
      </c>
      <c r="O584">
        <v>6</v>
      </c>
      <c r="Q584" t="s">
        <v>50</v>
      </c>
      <c r="R584" t="str">
        <f t="shared" si="55"/>
        <v>9_34__587_04/21/2023_2023_MonMon_OWC_TR_RZ_Rz_6__Nutri</v>
      </c>
    </row>
    <row r="585" spans="1:18" x14ac:dyDescent="0.25">
      <c r="A585">
        <v>9</v>
      </c>
      <c r="B585">
        <v>35</v>
      </c>
      <c r="D585">
        <v>588</v>
      </c>
      <c r="E585" s="1">
        <v>45037</v>
      </c>
      <c r="F585" s="11">
        <f t="shared" si="54"/>
        <v>45037</v>
      </c>
      <c r="G585">
        <f t="shared" si="56"/>
        <v>2023</v>
      </c>
      <c r="H585">
        <f t="shared" si="57"/>
        <v>4</v>
      </c>
      <c r="I585">
        <f t="shared" si="53"/>
        <v>21</v>
      </c>
      <c r="J585" t="s">
        <v>10</v>
      </c>
      <c r="K585" t="s">
        <v>8</v>
      </c>
      <c r="L585" t="s">
        <v>14</v>
      </c>
      <c r="M585" t="s">
        <v>26</v>
      </c>
      <c r="N585" t="s">
        <v>18</v>
      </c>
      <c r="O585">
        <v>7</v>
      </c>
      <c r="Q585" t="s">
        <v>50</v>
      </c>
      <c r="R585" t="str">
        <f t="shared" si="55"/>
        <v>9_35__588_04/21/2023_2023_MonMon_OWC_TR_RZ_Rz_7__Nutri</v>
      </c>
    </row>
    <row r="586" spans="1:18" x14ac:dyDescent="0.25">
      <c r="A586">
        <v>9</v>
      </c>
      <c r="B586">
        <v>36</v>
      </c>
      <c r="D586">
        <v>589</v>
      </c>
      <c r="E586" s="1">
        <v>45037</v>
      </c>
      <c r="F586" s="11">
        <f t="shared" si="54"/>
        <v>45037</v>
      </c>
      <c r="G586">
        <f t="shared" si="56"/>
        <v>2023</v>
      </c>
      <c r="H586">
        <f t="shared" si="57"/>
        <v>4</v>
      </c>
      <c r="I586">
        <f t="shared" si="53"/>
        <v>21</v>
      </c>
      <c r="J586" t="s">
        <v>10</v>
      </c>
      <c r="K586" t="s">
        <v>8</v>
      </c>
      <c r="L586" t="s">
        <v>14</v>
      </c>
      <c r="M586" t="s">
        <v>26</v>
      </c>
      <c r="N586" t="s">
        <v>18</v>
      </c>
      <c r="O586">
        <v>8</v>
      </c>
      <c r="Q586" t="s">
        <v>50</v>
      </c>
      <c r="R586" t="str">
        <f t="shared" si="55"/>
        <v>9_36__589_04/21/2023_2023_MonMon_OWC_TR_RZ_Rz_8__Nutri</v>
      </c>
    </row>
    <row r="587" spans="1:18" x14ac:dyDescent="0.25">
      <c r="A587">
        <v>9</v>
      </c>
      <c r="B587">
        <v>37</v>
      </c>
      <c r="D587">
        <v>590</v>
      </c>
      <c r="E587" s="1">
        <v>45037</v>
      </c>
      <c r="F587" s="11">
        <f t="shared" si="54"/>
        <v>45037</v>
      </c>
      <c r="G587">
        <f t="shared" si="56"/>
        <v>2023</v>
      </c>
      <c r="H587">
        <f t="shared" si="57"/>
        <v>4</v>
      </c>
      <c r="I587">
        <f t="shared" si="53"/>
        <v>21</v>
      </c>
      <c r="J587" t="s">
        <v>10</v>
      </c>
      <c r="K587" t="s">
        <v>8</v>
      </c>
      <c r="L587" t="s">
        <v>17</v>
      </c>
      <c r="M587" t="s">
        <v>26</v>
      </c>
      <c r="N587" t="s">
        <v>18</v>
      </c>
      <c r="O587">
        <v>1</v>
      </c>
      <c r="Q587" t="s">
        <v>50</v>
      </c>
      <c r="R587" t="str">
        <f t="shared" si="55"/>
        <v>9_37__590_04/21/2023_2023_MonMon_OWC_UP_RZ_Rz_1__Nutri</v>
      </c>
    </row>
    <row r="588" spans="1:18" x14ac:dyDescent="0.25">
      <c r="A588">
        <v>9</v>
      </c>
      <c r="B588">
        <v>38</v>
      </c>
      <c r="D588">
        <v>591</v>
      </c>
      <c r="E588" s="1">
        <v>45037</v>
      </c>
      <c r="F588" s="11">
        <f t="shared" si="54"/>
        <v>45037</v>
      </c>
      <c r="G588">
        <f t="shared" si="56"/>
        <v>2023</v>
      </c>
      <c r="H588">
        <f t="shared" si="57"/>
        <v>4</v>
      </c>
      <c r="I588">
        <f t="shared" si="53"/>
        <v>21</v>
      </c>
      <c r="J588" t="s">
        <v>10</v>
      </c>
      <c r="K588" t="s">
        <v>8</v>
      </c>
      <c r="L588" t="s">
        <v>17</v>
      </c>
      <c r="M588" t="s">
        <v>26</v>
      </c>
      <c r="N588" t="s">
        <v>18</v>
      </c>
      <c r="O588">
        <v>2</v>
      </c>
      <c r="Q588" t="s">
        <v>50</v>
      </c>
      <c r="R588" t="str">
        <f t="shared" si="55"/>
        <v>9_38__591_04/21/2023_2023_MonMon_OWC_UP_RZ_Rz_2__Nutri</v>
      </c>
    </row>
    <row r="589" spans="1:18" x14ac:dyDescent="0.25">
      <c r="A589">
        <v>9</v>
      </c>
      <c r="B589">
        <v>39</v>
      </c>
      <c r="D589">
        <v>592</v>
      </c>
      <c r="E589" s="1">
        <v>45037</v>
      </c>
      <c r="F589" s="11">
        <f t="shared" si="54"/>
        <v>45037</v>
      </c>
      <c r="G589">
        <f t="shared" si="56"/>
        <v>2023</v>
      </c>
      <c r="H589">
        <f t="shared" si="57"/>
        <v>4</v>
      </c>
      <c r="I589">
        <f t="shared" si="53"/>
        <v>21</v>
      </c>
      <c r="J589" t="s">
        <v>10</v>
      </c>
      <c r="K589" t="s">
        <v>8</v>
      </c>
      <c r="L589" t="s">
        <v>17</v>
      </c>
      <c r="M589" t="s">
        <v>26</v>
      </c>
      <c r="N589" t="s">
        <v>18</v>
      </c>
      <c r="O589">
        <v>3</v>
      </c>
      <c r="Q589" t="s">
        <v>50</v>
      </c>
      <c r="R589" t="str">
        <f t="shared" si="55"/>
        <v>9_39__592_04/21/2023_2023_MonMon_OWC_UP_RZ_Rz_3__Nutri</v>
      </c>
    </row>
    <row r="590" spans="1:18" x14ac:dyDescent="0.25">
      <c r="A590">
        <v>9</v>
      </c>
      <c r="B590">
        <v>40</v>
      </c>
      <c r="D590">
        <v>593</v>
      </c>
      <c r="E590" s="1">
        <v>45037</v>
      </c>
      <c r="F590" s="11">
        <f t="shared" si="54"/>
        <v>45037</v>
      </c>
      <c r="G590">
        <f t="shared" si="56"/>
        <v>2023</v>
      </c>
      <c r="H590">
        <f t="shared" si="57"/>
        <v>4</v>
      </c>
      <c r="I590">
        <f t="shared" si="53"/>
        <v>21</v>
      </c>
      <c r="J590" t="s">
        <v>10</v>
      </c>
      <c r="K590" t="s">
        <v>8</v>
      </c>
      <c r="L590" t="s">
        <v>17</v>
      </c>
      <c r="M590" t="s">
        <v>26</v>
      </c>
      <c r="N590" t="s">
        <v>18</v>
      </c>
      <c r="O590">
        <v>6</v>
      </c>
      <c r="Q590" t="s">
        <v>50</v>
      </c>
      <c r="R590" t="str">
        <f t="shared" si="55"/>
        <v>9_40__593_04/21/2023_2023_MonMon_OWC_UP_RZ_Rz_6__Nutri</v>
      </c>
    </row>
    <row r="591" spans="1:18" x14ac:dyDescent="0.25">
      <c r="A591">
        <v>9</v>
      </c>
      <c r="B591">
        <v>41</v>
      </c>
      <c r="D591">
        <v>594</v>
      </c>
      <c r="E591" s="1">
        <v>45037</v>
      </c>
      <c r="F591" s="11">
        <f t="shared" si="54"/>
        <v>45037</v>
      </c>
      <c r="G591">
        <f t="shared" si="56"/>
        <v>2023</v>
      </c>
      <c r="H591">
        <f t="shared" si="57"/>
        <v>4</v>
      </c>
      <c r="I591">
        <f t="shared" si="53"/>
        <v>21</v>
      </c>
      <c r="J591" t="s">
        <v>10</v>
      </c>
      <c r="K591" t="s">
        <v>8</v>
      </c>
      <c r="L591" t="s">
        <v>17</v>
      </c>
      <c r="M591" t="s">
        <v>26</v>
      </c>
      <c r="N591" t="s">
        <v>18</v>
      </c>
      <c r="O591">
        <v>7</v>
      </c>
      <c r="Q591" t="s">
        <v>50</v>
      </c>
      <c r="R591" t="str">
        <f t="shared" si="55"/>
        <v>9_41__594_04/21/2023_2023_MonMon_OWC_UP_RZ_Rz_7__Nutri</v>
      </c>
    </row>
    <row r="592" spans="1:18" x14ac:dyDescent="0.25">
      <c r="A592">
        <v>10</v>
      </c>
      <c r="B592">
        <v>1</v>
      </c>
      <c r="E592" s="1">
        <v>45013</v>
      </c>
      <c r="F592" s="11">
        <f t="shared" si="54"/>
        <v>45013</v>
      </c>
      <c r="G592">
        <f t="shared" si="56"/>
        <v>2023</v>
      </c>
      <c r="H592">
        <f t="shared" si="57"/>
        <v>3</v>
      </c>
      <c r="I592">
        <f t="shared" si="53"/>
        <v>28</v>
      </c>
      <c r="J592" t="s">
        <v>10</v>
      </c>
      <c r="K592" t="s">
        <v>8</v>
      </c>
      <c r="L592" t="s">
        <v>9</v>
      </c>
      <c r="M592" t="s">
        <v>11</v>
      </c>
      <c r="N592" t="s">
        <v>27</v>
      </c>
      <c r="O592" t="s">
        <v>23</v>
      </c>
      <c r="P592">
        <v>10</v>
      </c>
      <c r="Q592" t="s">
        <v>50</v>
      </c>
      <c r="R592" t="str">
        <f t="shared" si="55"/>
        <v>10_1___03/28/2023_2023_MonMon_OWC_W_PW_Sip_A_10_Nutri</v>
      </c>
    </row>
    <row r="593" spans="1:18" x14ac:dyDescent="0.25">
      <c r="A593">
        <v>10</v>
      </c>
      <c r="B593">
        <v>2</v>
      </c>
      <c r="E593" s="1">
        <v>45013</v>
      </c>
      <c r="F593" s="11">
        <f t="shared" si="54"/>
        <v>45013</v>
      </c>
      <c r="G593">
        <f t="shared" si="56"/>
        <v>2023</v>
      </c>
      <c r="H593">
        <f t="shared" si="57"/>
        <v>3</v>
      </c>
      <c r="I593">
        <f t="shared" si="53"/>
        <v>28</v>
      </c>
      <c r="J593" t="s">
        <v>10</v>
      </c>
      <c r="K593" t="s">
        <v>8</v>
      </c>
      <c r="L593" t="s">
        <v>9</v>
      </c>
      <c r="M593" t="s">
        <v>11</v>
      </c>
      <c r="N593" t="s">
        <v>27</v>
      </c>
      <c r="O593" t="s">
        <v>23</v>
      </c>
      <c r="P593">
        <v>20</v>
      </c>
      <c r="Q593" t="s">
        <v>50</v>
      </c>
      <c r="R593" t="str">
        <f t="shared" si="55"/>
        <v>10_2___03/28/2023_2023_MonMon_OWC_W_PW_Sip_A_20_Nutri</v>
      </c>
    </row>
    <row r="594" spans="1:18" x14ac:dyDescent="0.25">
      <c r="A594">
        <v>10</v>
      </c>
      <c r="B594">
        <v>3</v>
      </c>
      <c r="E594" s="1">
        <v>45013</v>
      </c>
      <c r="F594" s="11">
        <f t="shared" si="54"/>
        <v>45013</v>
      </c>
      <c r="G594">
        <f t="shared" si="56"/>
        <v>2023</v>
      </c>
      <c r="H594">
        <f t="shared" si="57"/>
        <v>3</v>
      </c>
      <c r="I594">
        <f t="shared" si="53"/>
        <v>28</v>
      </c>
      <c r="J594" t="s">
        <v>10</v>
      </c>
      <c r="K594" t="s">
        <v>8</v>
      </c>
      <c r="L594" t="s">
        <v>9</v>
      </c>
      <c r="M594" t="s">
        <v>11</v>
      </c>
      <c r="N594" t="s">
        <v>27</v>
      </c>
      <c r="O594" t="s">
        <v>23</v>
      </c>
      <c r="P594">
        <v>45</v>
      </c>
      <c r="Q594" t="s">
        <v>50</v>
      </c>
      <c r="R594" t="str">
        <f t="shared" si="55"/>
        <v>10_3___03/28/2023_2023_MonMon_OWC_W_PW_Sip_A_45_Nutri</v>
      </c>
    </row>
    <row r="595" spans="1:18" x14ac:dyDescent="0.25">
      <c r="A595">
        <v>10</v>
      </c>
      <c r="B595">
        <v>4</v>
      </c>
      <c r="E595" s="1">
        <v>45013</v>
      </c>
      <c r="F595" s="11">
        <f t="shared" si="54"/>
        <v>45013</v>
      </c>
      <c r="G595">
        <f t="shared" si="56"/>
        <v>2023</v>
      </c>
      <c r="H595">
        <f t="shared" si="57"/>
        <v>3</v>
      </c>
      <c r="I595">
        <f t="shared" si="53"/>
        <v>28</v>
      </c>
      <c r="J595" t="s">
        <v>10</v>
      </c>
      <c r="K595" t="s">
        <v>8</v>
      </c>
      <c r="L595" t="s">
        <v>9</v>
      </c>
      <c r="M595" t="s">
        <v>11</v>
      </c>
      <c r="N595" t="s">
        <v>27</v>
      </c>
      <c r="O595" t="s">
        <v>24</v>
      </c>
      <c r="P595">
        <v>10</v>
      </c>
      <c r="Q595" t="s">
        <v>50</v>
      </c>
      <c r="R595" t="str">
        <f t="shared" si="55"/>
        <v>10_4___03/28/2023_2023_MonMon_OWC_W_PW_Sip_B_10_Nutri</v>
      </c>
    </row>
    <row r="596" spans="1:18" x14ac:dyDescent="0.25">
      <c r="A596">
        <v>10</v>
      </c>
      <c r="B596">
        <v>5</v>
      </c>
      <c r="E596" s="1">
        <v>45013</v>
      </c>
      <c r="F596" s="11">
        <f t="shared" si="54"/>
        <v>45013</v>
      </c>
      <c r="G596">
        <f t="shared" si="56"/>
        <v>2023</v>
      </c>
      <c r="H596">
        <f t="shared" si="57"/>
        <v>3</v>
      </c>
      <c r="I596">
        <f t="shared" si="53"/>
        <v>28</v>
      </c>
      <c r="J596" t="s">
        <v>10</v>
      </c>
      <c r="K596" t="s">
        <v>8</v>
      </c>
      <c r="L596" t="s">
        <v>9</v>
      </c>
      <c r="M596" t="s">
        <v>11</v>
      </c>
      <c r="N596" t="s">
        <v>27</v>
      </c>
      <c r="O596" t="s">
        <v>24</v>
      </c>
      <c r="P596">
        <v>20</v>
      </c>
      <c r="Q596" t="s">
        <v>50</v>
      </c>
      <c r="R596" t="str">
        <f t="shared" si="55"/>
        <v>10_5___03/28/2023_2023_MonMon_OWC_W_PW_Sip_B_20_Nutri</v>
      </c>
    </row>
    <row r="597" spans="1:18" x14ac:dyDescent="0.25">
      <c r="A597">
        <v>10</v>
      </c>
      <c r="B597">
        <v>6</v>
      </c>
      <c r="E597" s="1">
        <v>45013</v>
      </c>
      <c r="F597" s="11">
        <f t="shared" si="54"/>
        <v>45013</v>
      </c>
      <c r="G597">
        <f t="shared" si="56"/>
        <v>2023</v>
      </c>
      <c r="H597">
        <f t="shared" si="57"/>
        <v>3</v>
      </c>
      <c r="I597">
        <f t="shared" si="53"/>
        <v>28</v>
      </c>
      <c r="J597" t="s">
        <v>10</v>
      </c>
      <c r="K597" t="s">
        <v>8</v>
      </c>
      <c r="L597" t="s">
        <v>9</v>
      </c>
      <c r="M597" t="s">
        <v>11</v>
      </c>
      <c r="N597" t="s">
        <v>27</v>
      </c>
      <c r="O597" t="s">
        <v>24</v>
      </c>
      <c r="P597">
        <v>45</v>
      </c>
      <c r="Q597" t="s">
        <v>50</v>
      </c>
      <c r="R597" t="str">
        <f t="shared" si="55"/>
        <v>10_6___03/28/2023_2023_MonMon_OWC_W_PW_Sip_B_45_Nutri</v>
      </c>
    </row>
    <row r="598" spans="1:18" x14ac:dyDescent="0.25">
      <c r="A598">
        <v>10</v>
      </c>
      <c r="B598">
        <v>7</v>
      </c>
      <c r="E598" s="1">
        <v>45013</v>
      </c>
      <c r="F598" s="11">
        <f t="shared" si="54"/>
        <v>45013</v>
      </c>
      <c r="G598">
        <f t="shared" si="56"/>
        <v>2023</v>
      </c>
      <c r="H598">
        <f t="shared" si="57"/>
        <v>3</v>
      </c>
      <c r="I598">
        <f t="shared" si="53"/>
        <v>28</v>
      </c>
      <c r="J598" t="s">
        <v>10</v>
      </c>
      <c r="K598" t="s">
        <v>8</v>
      </c>
      <c r="L598" t="s">
        <v>9</v>
      </c>
      <c r="M598" t="s">
        <v>11</v>
      </c>
      <c r="N598" t="s">
        <v>27</v>
      </c>
      <c r="O598" t="s">
        <v>25</v>
      </c>
      <c r="P598">
        <v>10</v>
      </c>
      <c r="Q598" t="s">
        <v>50</v>
      </c>
      <c r="R598" t="str">
        <f t="shared" si="55"/>
        <v>10_7___03/28/2023_2023_MonMon_OWC_W_PW_Sip_C_10_Nutri</v>
      </c>
    </row>
    <row r="599" spans="1:18" x14ac:dyDescent="0.25">
      <c r="A599">
        <v>10</v>
      </c>
      <c r="B599">
        <v>8</v>
      </c>
      <c r="E599" s="1">
        <v>45013</v>
      </c>
      <c r="F599" s="11">
        <f t="shared" si="54"/>
        <v>45013</v>
      </c>
      <c r="G599">
        <f t="shared" si="56"/>
        <v>2023</v>
      </c>
      <c r="H599">
        <f t="shared" si="57"/>
        <v>3</v>
      </c>
      <c r="I599">
        <f t="shared" si="53"/>
        <v>28</v>
      </c>
      <c r="J599" t="s">
        <v>10</v>
      </c>
      <c r="K599" t="s">
        <v>8</v>
      </c>
      <c r="L599" t="s">
        <v>9</v>
      </c>
      <c r="M599" t="s">
        <v>11</v>
      </c>
      <c r="N599" t="s">
        <v>27</v>
      </c>
      <c r="O599" t="s">
        <v>25</v>
      </c>
      <c r="P599">
        <v>20</v>
      </c>
      <c r="Q599" t="s">
        <v>50</v>
      </c>
      <c r="R599" t="str">
        <f t="shared" si="55"/>
        <v>10_8___03/28/2023_2023_MonMon_OWC_W_PW_Sip_C_20_Nutri</v>
      </c>
    </row>
    <row r="600" spans="1:18" x14ac:dyDescent="0.25">
      <c r="A600">
        <v>10</v>
      </c>
      <c r="B600">
        <v>9</v>
      </c>
      <c r="E600" s="1">
        <v>45013</v>
      </c>
      <c r="F600" s="11">
        <f t="shared" si="54"/>
        <v>45013</v>
      </c>
      <c r="G600">
        <f t="shared" si="56"/>
        <v>2023</v>
      </c>
      <c r="H600">
        <f t="shared" si="57"/>
        <v>3</v>
      </c>
      <c r="I600">
        <f t="shared" si="53"/>
        <v>28</v>
      </c>
      <c r="J600" t="s">
        <v>10</v>
      </c>
      <c r="K600" t="s">
        <v>8</v>
      </c>
      <c r="L600" t="s">
        <v>9</v>
      </c>
      <c r="M600" t="s">
        <v>11</v>
      </c>
      <c r="N600" t="s">
        <v>27</v>
      </c>
      <c r="O600" t="s">
        <v>25</v>
      </c>
      <c r="P600">
        <v>45</v>
      </c>
      <c r="Q600" t="s">
        <v>50</v>
      </c>
      <c r="R600" t="str">
        <f t="shared" si="55"/>
        <v>10_9___03/28/2023_2023_MonMon_OWC_W_PW_Sip_C_45_Nutri</v>
      </c>
    </row>
    <row r="601" spans="1:18" x14ac:dyDescent="0.25">
      <c r="A601">
        <v>10</v>
      </c>
      <c r="B601">
        <v>10</v>
      </c>
      <c r="E601" s="1">
        <v>45013</v>
      </c>
      <c r="F601" s="11">
        <f t="shared" si="54"/>
        <v>45013</v>
      </c>
      <c r="G601">
        <f t="shared" si="56"/>
        <v>2023</v>
      </c>
      <c r="H601">
        <f t="shared" si="57"/>
        <v>3</v>
      </c>
      <c r="I601">
        <f t="shared" si="53"/>
        <v>28</v>
      </c>
      <c r="J601" t="s">
        <v>10</v>
      </c>
      <c r="K601" t="s">
        <v>8</v>
      </c>
      <c r="L601" t="s">
        <v>14</v>
      </c>
      <c r="M601" t="s">
        <v>11</v>
      </c>
      <c r="N601" t="s">
        <v>15</v>
      </c>
      <c r="O601" t="s">
        <v>23</v>
      </c>
      <c r="P601">
        <v>10</v>
      </c>
      <c r="Q601" t="s">
        <v>50</v>
      </c>
      <c r="R601" t="str">
        <f t="shared" si="55"/>
        <v>10_10___03/28/2023_2023_MonMon_OWC_TR_PW_Lys_A_10_Nutri</v>
      </c>
    </row>
    <row r="602" spans="1:18" x14ac:dyDescent="0.25">
      <c r="A602">
        <v>10</v>
      </c>
      <c r="B602">
        <v>11</v>
      </c>
      <c r="E602" s="1">
        <v>45013</v>
      </c>
      <c r="F602" s="11">
        <f t="shared" si="54"/>
        <v>45013</v>
      </c>
      <c r="G602">
        <f t="shared" si="56"/>
        <v>2023</v>
      </c>
      <c r="H602">
        <f t="shared" si="57"/>
        <v>3</v>
      </c>
      <c r="I602">
        <f t="shared" si="53"/>
        <v>28</v>
      </c>
      <c r="J602" t="s">
        <v>10</v>
      </c>
      <c r="K602" t="s">
        <v>8</v>
      </c>
      <c r="L602" t="s">
        <v>14</v>
      </c>
      <c r="M602" t="s">
        <v>11</v>
      </c>
      <c r="N602" t="s">
        <v>15</v>
      </c>
      <c r="O602" t="s">
        <v>23</v>
      </c>
      <c r="P602">
        <v>20</v>
      </c>
      <c r="Q602" t="s">
        <v>50</v>
      </c>
      <c r="R602" t="str">
        <f t="shared" si="55"/>
        <v>10_11___03/28/2023_2023_MonMon_OWC_TR_PW_Lys_A_20_Nutri</v>
      </c>
    </row>
    <row r="603" spans="1:18" x14ac:dyDescent="0.25">
      <c r="A603">
        <v>10</v>
      </c>
      <c r="B603">
        <v>12</v>
      </c>
      <c r="E603" s="1">
        <v>45013</v>
      </c>
      <c r="F603" s="11">
        <f t="shared" si="54"/>
        <v>45013</v>
      </c>
      <c r="G603">
        <f t="shared" si="56"/>
        <v>2023</v>
      </c>
      <c r="H603">
        <f t="shared" si="57"/>
        <v>3</v>
      </c>
      <c r="I603">
        <f t="shared" si="53"/>
        <v>28</v>
      </c>
      <c r="J603" t="s">
        <v>10</v>
      </c>
      <c r="K603" t="s">
        <v>8</v>
      </c>
      <c r="L603" t="s">
        <v>14</v>
      </c>
      <c r="M603" t="s">
        <v>11</v>
      </c>
      <c r="N603" t="s">
        <v>15</v>
      </c>
      <c r="O603" t="s">
        <v>23</v>
      </c>
      <c r="P603">
        <v>45</v>
      </c>
      <c r="Q603" t="s">
        <v>50</v>
      </c>
      <c r="R603" t="str">
        <f t="shared" si="55"/>
        <v>10_12___03/28/2023_2023_MonMon_OWC_TR_PW_Lys_A_45_Nutri</v>
      </c>
    </row>
    <row r="604" spans="1:18" x14ac:dyDescent="0.25">
      <c r="A604">
        <v>10</v>
      </c>
      <c r="B604">
        <v>13</v>
      </c>
      <c r="E604" s="1">
        <v>45013</v>
      </c>
      <c r="F604" s="11">
        <f t="shared" si="54"/>
        <v>45013</v>
      </c>
      <c r="G604">
        <f t="shared" si="56"/>
        <v>2023</v>
      </c>
      <c r="H604">
        <f t="shared" si="57"/>
        <v>3</v>
      </c>
      <c r="I604">
        <f t="shared" si="53"/>
        <v>28</v>
      </c>
      <c r="J604" t="s">
        <v>10</v>
      </c>
      <c r="K604" t="s">
        <v>8</v>
      </c>
      <c r="L604" t="s">
        <v>14</v>
      </c>
      <c r="M604" t="s">
        <v>11</v>
      </c>
      <c r="N604" t="s">
        <v>15</v>
      </c>
      <c r="O604" t="s">
        <v>24</v>
      </c>
      <c r="P604">
        <v>10</v>
      </c>
      <c r="Q604" t="s">
        <v>50</v>
      </c>
      <c r="R604" t="str">
        <f t="shared" si="55"/>
        <v>10_13___03/28/2023_2023_MonMon_OWC_TR_PW_Lys_B_10_Nutri</v>
      </c>
    </row>
    <row r="605" spans="1:18" x14ac:dyDescent="0.25">
      <c r="A605">
        <v>10</v>
      </c>
      <c r="B605">
        <v>14</v>
      </c>
      <c r="E605" s="1">
        <v>45013</v>
      </c>
      <c r="F605" s="11">
        <f t="shared" si="54"/>
        <v>45013</v>
      </c>
      <c r="G605">
        <f t="shared" si="56"/>
        <v>2023</v>
      </c>
      <c r="H605">
        <f t="shared" si="57"/>
        <v>3</v>
      </c>
      <c r="I605">
        <f t="shared" si="53"/>
        <v>28</v>
      </c>
      <c r="J605" t="s">
        <v>10</v>
      </c>
      <c r="K605" t="s">
        <v>8</v>
      </c>
      <c r="L605" t="s">
        <v>14</v>
      </c>
      <c r="M605" t="s">
        <v>11</v>
      </c>
      <c r="N605" t="s">
        <v>15</v>
      </c>
      <c r="O605" t="s">
        <v>24</v>
      </c>
      <c r="P605">
        <v>20</v>
      </c>
      <c r="Q605" t="s">
        <v>50</v>
      </c>
      <c r="R605" t="str">
        <f t="shared" si="55"/>
        <v>10_14___03/28/2023_2023_MonMon_OWC_TR_PW_Lys_B_20_Nutri</v>
      </c>
    </row>
    <row r="606" spans="1:18" x14ac:dyDescent="0.25">
      <c r="A606">
        <v>10</v>
      </c>
      <c r="B606">
        <v>15</v>
      </c>
      <c r="E606" s="1">
        <v>45013</v>
      </c>
      <c r="F606" s="11">
        <f t="shared" si="54"/>
        <v>45013</v>
      </c>
      <c r="G606">
        <f t="shared" si="56"/>
        <v>2023</v>
      </c>
      <c r="H606">
        <f t="shared" si="57"/>
        <v>3</v>
      </c>
      <c r="I606">
        <f t="shared" si="53"/>
        <v>28</v>
      </c>
      <c r="J606" t="s">
        <v>10</v>
      </c>
      <c r="K606" t="s">
        <v>8</v>
      </c>
      <c r="L606" t="s">
        <v>14</v>
      </c>
      <c r="M606" t="s">
        <v>11</v>
      </c>
      <c r="N606" t="s">
        <v>15</v>
      </c>
      <c r="O606" t="s">
        <v>24</v>
      </c>
      <c r="P606">
        <v>45</v>
      </c>
      <c r="Q606" t="s">
        <v>50</v>
      </c>
      <c r="R606" t="str">
        <f t="shared" si="55"/>
        <v>10_15___03/28/2023_2023_MonMon_OWC_TR_PW_Lys_B_45_Nutri</v>
      </c>
    </row>
    <row r="607" spans="1:18" x14ac:dyDescent="0.25">
      <c r="A607">
        <v>10</v>
      </c>
      <c r="B607">
        <v>16</v>
      </c>
      <c r="E607" s="1">
        <v>45013</v>
      </c>
      <c r="F607" s="11">
        <f t="shared" si="54"/>
        <v>45013</v>
      </c>
      <c r="G607">
        <f t="shared" si="56"/>
        <v>2023</v>
      </c>
      <c r="H607">
        <f t="shared" si="57"/>
        <v>3</v>
      </c>
      <c r="I607">
        <f t="shared" si="53"/>
        <v>28</v>
      </c>
      <c r="J607" t="s">
        <v>10</v>
      </c>
      <c r="K607" t="s">
        <v>8</v>
      </c>
      <c r="L607" t="s">
        <v>14</v>
      </c>
      <c r="M607" t="s">
        <v>11</v>
      </c>
      <c r="N607" t="s">
        <v>15</v>
      </c>
      <c r="O607" t="s">
        <v>25</v>
      </c>
      <c r="P607">
        <v>10</v>
      </c>
      <c r="Q607" t="s">
        <v>50</v>
      </c>
      <c r="R607" t="str">
        <f t="shared" si="55"/>
        <v>10_16___03/28/2023_2023_MonMon_OWC_TR_PW_Lys_C_10_Nutri</v>
      </c>
    </row>
    <row r="608" spans="1:18" x14ac:dyDescent="0.25">
      <c r="A608">
        <v>10</v>
      </c>
      <c r="B608">
        <v>17</v>
      </c>
      <c r="E608" s="1">
        <v>45013</v>
      </c>
      <c r="F608" s="11">
        <f t="shared" si="54"/>
        <v>45013</v>
      </c>
      <c r="G608">
        <f t="shared" si="56"/>
        <v>2023</v>
      </c>
      <c r="H608">
        <f t="shared" si="57"/>
        <v>3</v>
      </c>
      <c r="I608">
        <f t="shared" si="53"/>
        <v>28</v>
      </c>
      <c r="J608" t="s">
        <v>10</v>
      </c>
      <c r="K608" t="s">
        <v>8</v>
      </c>
      <c r="L608" t="s">
        <v>14</v>
      </c>
      <c r="M608" t="s">
        <v>11</v>
      </c>
      <c r="N608" t="s">
        <v>15</v>
      </c>
      <c r="O608" t="s">
        <v>25</v>
      </c>
      <c r="P608">
        <v>20</v>
      </c>
      <c r="Q608" t="s">
        <v>50</v>
      </c>
      <c r="R608" t="str">
        <f t="shared" si="55"/>
        <v>10_17___03/28/2023_2023_MonMon_OWC_TR_PW_Lys_C_20_Nutri</v>
      </c>
    </row>
    <row r="609" spans="1:18" x14ac:dyDescent="0.25">
      <c r="A609">
        <v>10</v>
      </c>
      <c r="B609">
        <v>18</v>
      </c>
      <c r="E609" s="1">
        <v>45013</v>
      </c>
      <c r="F609" s="11">
        <f t="shared" si="54"/>
        <v>45013</v>
      </c>
      <c r="G609">
        <f t="shared" si="56"/>
        <v>2023</v>
      </c>
      <c r="H609">
        <f t="shared" si="57"/>
        <v>3</v>
      </c>
      <c r="I609">
        <f t="shared" si="53"/>
        <v>28</v>
      </c>
      <c r="J609" t="s">
        <v>10</v>
      </c>
      <c r="K609" t="s">
        <v>8</v>
      </c>
      <c r="L609" t="s">
        <v>14</v>
      </c>
      <c r="M609" t="s">
        <v>11</v>
      </c>
      <c r="N609" t="s">
        <v>15</v>
      </c>
      <c r="O609" t="s">
        <v>25</v>
      </c>
      <c r="P609">
        <v>45</v>
      </c>
      <c r="Q609" t="s">
        <v>50</v>
      </c>
      <c r="R609" t="str">
        <f t="shared" si="55"/>
        <v>10_18___03/28/2023_2023_MonMon_OWC_TR_PW_Lys_C_45_Nutri</v>
      </c>
    </row>
    <row r="610" spans="1:18" x14ac:dyDescent="0.25">
      <c r="A610">
        <v>10</v>
      </c>
      <c r="B610">
        <v>19</v>
      </c>
      <c r="E610" s="1">
        <v>45013</v>
      </c>
      <c r="F610" s="11">
        <f t="shared" si="54"/>
        <v>45013</v>
      </c>
      <c r="G610">
        <f t="shared" si="56"/>
        <v>2023</v>
      </c>
      <c r="H610">
        <f t="shared" si="57"/>
        <v>3</v>
      </c>
      <c r="I610">
        <f t="shared" si="53"/>
        <v>28</v>
      </c>
      <c r="J610" t="s">
        <v>10</v>
      </c>
      <c r="K610" t="s">
        <v>8</v>
      </c>
      <c r="L610" t="s">
        <v>17</v>
      </c>
      <c r="M610" t="s">
        <v>11</v>
      </c>
      <c r="N610" t="s">
        <v>15</v>
      </c>
      <c r="O610" t="s">
        <v>23</v>
      </c>
      <c r="P610">
        <v>10</v>
      </c>
      <c r="Q610" t="s">
        <v>50</v>
      </c>
      <c r="R610" t="str">
        <f t="shared" si="55"/>
        <v>10_19___03/28/2023_2023_MonMon_OWC_UP_PW_Lys_A_10_Nutri</v>
      </c>
    </row>
    <row r="611" spans="1:18" x14ac:dyDescent="0.25">
      <c r="A611">
        <v>10</v>
      </c>
      <c r="B611">
        <v>20</v>
      </c>
      <c r="E611" s="1">
        <v>45013</v>
      </c>
      <c r="F611" s="11">
        <f t="shared" si="54"/>
        <v>45013</v>
      </c>
      <c r="G611">
        <f t="shared" si="56"/>
        <v>2023</v>
      </c>
      <c r="H611">
        <f t="shared" si="57"/>
        <v>3</v>
      </c>
      <c r="I611">
        <f t="shared" si="53"/>
        <v>28</v>
      </c>
      <c r="J611" t="s">
        <v>10</v>
      </c>
      <c r="K611" t="s">
        <v>8</v>
      </c>
      <c r="L611" t="s">
        <v>17</v>
      </c>
      <c r="M611" t="s">
        <v>11</v>
      </c>
      <c r="N611" t="s">
        <v>15</v>
      </c>
      <c r="O611" t="s">
        <v>23</v>
      </c>
      <c r="P611">
        <v>20</v>
      </c>
      <c r="Q611" t="s">
        <v>50</v>
      </c>
      <c r="R611" t="str">
        <f t="shared" si="55"/>
        <v>10_20___03/28/2023_2023_MonMon_OWC_UP_PW_Lys_A_20_Nutri</v>
      </c>
    </row>
    <row r="612" spans="1:18" x14ac:dyDescent="0.25">
      <c r="A612">
        <v>10</v>
      </c>
      <c r="B612">
        <v>21</v>
      </c>
      <c r="E612" s="1">
        <v>45013</v>
      </c>
      <c r="F612" s="11">
        <f t="shared" si="54"/>
        <v>45013</v>
      </c>
      <c r="G612">
        <f t="shared" si="56"/>
        <v>2023</v>
      </c>
      <c r="H612">
        <f t="shared" si="57"/>
        <v>3</v>
      </c>
      <c r="I612">
        <f t="shared" si="53"/>
        <v>28</v>
      </c>
      <c r="J612" t="s">
        <v>10</v>
      </c>
      <c r="K612" t="s">
        <v>8</v>
      </c>
      <c r="L612" t="s">
        <v>17</v>
      </c>
      <c r="M612" t="s">
        <v>11</v>
      </c>
      <c r="N612" t="s">
        <v>15</v>
      </c>
      <c r="O612" t="s">
        <v>23</v>
      </c>
      <c r="P612">
        <v>45</v>
      </c>
      <c r="Q612" t="s">
        <v>50</v>
      </c>
      <c r="R612" t="str">
        <f t="shared" si="55"/>
        <v>10_21___03/28/2023_2023_MonMon_OWC_UP_PW_Lys_A_45_Nutri</v>
      </c>
    </row>
    <row r="613" spans="1:18" x14ac:dyDescent="0.25">
      <c r="A613">
        <v>10</v>
      </c>
      <c r="B613">
        <v>22</v>
      </c>
      <c r="E613" s="1">
        <v>45013</v>
      </c>
      <c r="F613" s="11">
        <f t="shared" si="54"/>
        <v>45013</v>
      </c>
      <c r="G613">
        <f t="shared" si="56"/>
        <v>2023</v>
      </c>
      <c r="H613">
        <f t="shared" si="57"/>
        <v>3</v>
      </c>
      <c r="I613">
        <f t="shared" si="53"/>
        <v>28</v>
      </c>
      <c r="J613" t="s">
        <v>10</v>
      </c>
      <c r="K613" t="s">
        <v>8</v>
      </c>
      <c r="L613" t="s">
        <v>17</v>
      </c>
      <c r="M613" t="s">
        <v>11</v>
      </c>
      <c r="N613" t="s">
        <v>15</v>
      </c>
      <c r="O613" t="s">
        <v>24</v>
      </c>
      <c r="P613">
        <v>10</v>
      </c>
      <c r="Q613" t="s">
        <v>50</v>
      </c>
      <c r="R613" t="str">
        <f t="shared" si="55"/>
        <v>10_22___03/28/2023_2023_MonMon_OWC_UP_PW_Lys_B_10_Nutri</v>
      </c>
    </row>
    <row r="614" spans="1:18" x14ac:dyDescent="0.25">
      <c r="A614">
        <v>10</v>
      </c>
      <c r="B614">
        <v>23</v>
      </c>
      <c r="E614" s="1">
        <v>45013</v>
      </c>
      <c r="F614" s="11">
        <f t="shared" si="54"/>
        <v>45013</v>
      </c>
      <c r="G614">
        <f t="shared" si="56"/>
        <v>2023</v>
      </c>
      <c r="H614">
        <f t="shared" si="57"/>
        <v>3</v>
      </c>
      <c r="I614">
        <f t="shared" si="53"/>
        <v>28</v>
      </c>
      <c r="J614" t="s">
        <v>10</v>
      </c>
      <c r="K614" t="s">
        <v>8</v>
      </c>
      <c r="L614" t="s">
        <v>17</v>
      </c>
      <c r="M614" t="s">
        <v>11</v>
      </c>
      <c r="N614" t="s">
        <v>15</v>
      </c>
      <c r="O614" t="s">
        <v>24</v>
      </c>
      <c r="P614">
        <v>20</v>
      </c>
      <c r="Q614" t="s">
        <v>50</v>
      </c>
      <c r="R614" t="str">
        <f t="shared" si="55"/>
        <v>10_23___03/28/2023_2023_MonMon_OWC_UP_PW_Lys_B_20_Nutri</v>
      </c>
    </row>
    <row r="615" spans="1:18" x14ac:dyDescent="0.25">
      <c r="A615">
        <v>10</v>
      </c>
      <c r="B615">
        <v>24</v>
      </c>
      <c r="E615" s="1">
        <v>45013</v>
      </c>
      <c r="F615" s="11">
        <f t="shared" si="54"/>
        <v>45013</v>
      </c>
      <c r="G615">
        <f t="shared" si="56"/>
        <v>2023</v>
      </c>
      <c r="H615">
        <f t="shared" si="57"/>
        <v>3</v>
      </c>
      <c r="I615">
        <f t="shared" si="53"/>
        <v>28</v>
      </c>
      <c r="J615" t="s">
        <v>10</v>
      </c>
      <c r="K615" t="s">
        <v>8</v>
      </c>
      <c r="L615" t="s">
        <v>17</v>
      </c>
      <c r="M615" t="s">
        <v>11</v>
      </c>
      <c r="N615" t="s">
        <v>15</v>
      </c>
      <c r="O615" t="s">
        <v>25</v>
      </c>
      <c r="P615">
        <v>10</v>
      </c>
      <c r="Q615" t="s">
        <v>50</v>
      </c>
      <c r="R615" t="str">
        <f t="shared" si="55"/>
        <v>10_24___03/28/2023_2023_MonMon_OWC_UP_PW_Lys_C_10_Nutri</v>
      </c>
    </row>
    <row r="616" spans="1:18" x14ac:dyDescent="0.25">
      <c r="A616">
        <v>10</v>
      </c>
      <c r="B616">
        <v>25</v>
      </c>
      <c r="E616" s="1">
        <v>45013</v>
      </c>
      <c r="F616" s="11">
        <f t="shared" si="54"/>
        <v>45013</v>
      </c>
      <c r="G616">
        <f t="shared" si="56"/>
        <v>2023</v>
      </c>
      <c r="H616">
        <f t="shared" si="57"/>
        <v>3</v>
      </c>
      <c r="I616">
        <f t="shared" si="53"/>
        <v>28</v>
      </c>
      <c r="J616" t="s">
        <v>10</v>
      </c>
      <c r="K616" t="s">
        <v>8</v>
      </c>
      <c r="L616" t="s">
        <v>17</v>
      </c>
      <c r="M616" t="s">
        <v>11</v>
      </c>
      <c r="N616" t="s">
        <v>15</v>
      </c>
      <c r="O616" t="s">
        <v>25</v>
      </c>
      <c r="P616">
        <v>20</v>
      </c>
      <c r="Q616" t="s">
        <v>50</v>
      </c>
      <c r="R616" t="str">
        <f t="shared" si="55"/>
        <v>10_25___03/28/2023_2023_MonMon_OWC_UP_PW_Lys_C_20_Nutri</v>
      </c>
    </row>
    <row r="617" spans="1:18" x14ac:dyDescent="0.25">
      <c r="A617">
        <v>10</v>
      </c>
      <c r="B617">
        <v>26</v>
      </c>
      <c r="E617" s="1">
        <v>45013</v>
      </c>
      <c r="F617" s="11">
        <f t="shared" si="54"/>
        <v>45013</v>
      </c>
      <c r="G617">
        <f t="shared" si="56"/>
        <v>2023</v>
      </c>
      <c r="H617">
        <f t="shared" si="57"/>
        <v>3</v>
      </c>
      <c r="I617">
        <f t="shared" si="53"/>
        <v>28</v>
      </c>
      <c r="J617" t="s">
        <v>10</v>
      </c>
      <c r="K617" t="s">
        <v>8</v>
      </c>
      <c r="L617" t="s">
        <v>17</v>
      </c>
      <c r="M617" t="s">
        <v>11</v>
      </c>
      <c r="N617" t="s">
        <v>15</v>
      </c>
      <c r="O617" t="s">
        <v>25</v>
      </c>
      <c r="P617">
        <v>45</v>
      </c>
      <c r="Q617" t="s">
        <v>50</v>
      </c>
      <c r="R617" t="str">
        <f t="shared" si="55"/>
        <v>10_26___03/28/2023_2023_MonMon_OWC_UP_PW_Lys_C_45_Nutri</v>
      </c>
    </row>
    <row r="618" spans="1:18" x14ac:dyDescent="0.25">
      <c r="A618">
        <v>10</v>
      </c>
      <c r="B618">
        <v>27</v>
      </c>
      <c r="E618" s="1">
        <v>45013</v>
      </c>
      <c r="F618" s="11">
        <f t="shared" si="54"/>
        <v>45013</v>
      </c>
      <c r="G618">
        <f t="shared" si="56"/>
        <v>2023</v>
      </c>
      <c r="H618">
        <f t="shared" si="57"/>
        <v>3</v>
      </c>
      <c r="I618">
        <f t="shared" si="53"/>
        <v>28</v>
      </c>
      <c r="J618" t="s">
        <v>10</v>
      </c>
      <c r="K618" t="s">
        <v>8</v>
      </c>
      <c r="L618" t="s">
        <v>14</v>
      </c>
      <c r="M618" t="s">
        <v>26</v>
      </c>
      <c r="N618" t="s">
        <v>18</v>
      </c>
      <c r="O618">
        <v>1</v>
      </c>
      <c r="Q618" t="s">
        <v>50</v>
      </c>
      <c r="R618" t="str">
        <f t="shared" si="55"/>
        <v>10_27___03/28/2023_2023_MonMon_OWC_TR_RZ_Rz_1__Nutri</v>
      </c>
    </row>
    <row r="619" spans="1:18" x14ac:dyDescent="0.25">
      <c r="A619">
        <v>10</v>
      </c>
      <c r="B619">
        <v>28</v>
      </c>
      <c r="E619" s="1">
        <v>45013</v>
      </c>
      <c r="F619" s="11">
        <f t="shared" si="54"/>
        <v>45013</v>
      </c>
      <c r="G619">
        <f t="shared" si="56"/>
        <v>2023</v>
      </c>
      <c r="H619">
        <f t="shared" si="57"/>
        <v>3</v>
      </c>
      <c r="I619">
        <f t="shared" si="53"/>
        <v>28</v>
      </c>
      <c r="J619" t="s">
        <v>10</v>
      </c>
      <c r="K619" t="s">
        <v>8</v>
      </c>
      <c r="L619" t="s">
        <v>14</v>
      </c>
      <c r="M619" t="s">
        <v>26</v>
      </c>
      <c r="N619" t="s">
        <v>18</v>
      </c>
      <c r="O619">
        <v>2</v>
      </c>
      <c r="Q619" t="s">
        <v>50</v>
      </c>
      <c r="R619" t="str">
        <f t="shared" si="55"/>
        <v>10_28___03/28/2023_2023_MonMon_OWC_TR_RZ_Rz_2__Nutri</v>
      </c>
    </row>
    <row r="620" spans="1:18" x14ac:dyDescent="0.25">
      <c r="A620">
        <v>10</v>
      </c>
      <c r="B620">
        <v>29</v>
      </c>
      <c r="E620" s="1">
        <v>45013</v>
      </c>
      <c r="F620" s="11">
        <f t="shared" si="54"/>
        <v>45013</v>
      </c>
      <c r="G620">
        <f t="shared" si="56"/>
        <v>2023</v>
      </c>
      <c r="H620">
        <f t="shared" si="57"/>
        <v>3</v>
      </c>
      <c r="I620">
        <f t="shared" si="53"/>
        <v>28</v>
      </c>
      <c r="J620" t="s">
        <v>10</v>
      </c>
      <c r="K620" t="s">
        <v>8</v>
      </c>
      <c r="L620" t="s">
        <v>14</v>
      </c>
      <c r="M620" t="s">
        <v>26</v>
      </c>
      <c r="N620" t="s">
        <v>18</v>
      </c>
      <c r="O620">
        <v>3</v>
      </c>
      <c r="Q620" t="s">
        <v>50</v>
      </c>
      <c r="R620" t="str">
        <f t="shared" si="55"/>
        <v>10_29___03/28/2023_2023_MonMon_OWC_TR_RZ_Rz_3__Nutri</v>
      </c>
    </row>
    <row r="621" spans="1:18" x14ac:dyDescent="0.25">
      <c r="A621">
        <v>10</v>
      </c>
      <c r="B621">
        <v>30</v>
      </c>
      <c r="E621" s="1">
        <v>45013</v>
      </c>
      <c r="F621" s="11">
        <f t="shared" si="54"/>
        <v>45013</v>
      </c>
      <c r="G621">
        <f t="shared" si="56"/>
        <v>2023</v>
      </c>
      <c r="H621">
        <f t="shared" si="57"/>
        <v>3</v>
      </c>
      <c r="I621">
        <f t="shared" si="53"/>
        <v>28</v>
      </c>
      <c r="J621" t="s">
        <v>10</v>
      </c>
      <c r="K621" t="s">
        <v>8</v>
      </c>
      <c r="L621" t="s">
        <v>14</v>
      </c>
      <c r="M621" t="s">
        <v>26</v>
      </c>
      <c r="N621" t="s">
        <v>18</v>
      </c>
      <c r="O621">
        <v>4</v>
      </c>
      <c r="Q621" t="s">
        <v>50</v>
      </c>
      <c r="R621" t="str">
        <f t="shared" si="55"/>
        <v>10_30___03/28/2023_2023_MonMon_OWC_TR_RZ_Rz_4__Nutri</v>
      </c>
    </row>
    <row r="622" spans="1:18" x14ac:dyDescent="0.25">
      <c r="A622">
        <v>10</v>
      </c>
      <c r="B622">
        <v>31</v>
      </c>
      <c r="E622" s="1">
        <v>45013</v>
      </c>
      <c r="F622" s="11">
        <f t="shared" si="54"/>
        <v>45013</v>
      </c>
      <c r="G622">
        <f t="shared" si="56"/>
        <v>2023</v>
      </c>
      <c r="H622">
        <f t="shared" si="57"/>
        <v>3</v>
      </c>
      <c r="I622">
        <f t="shared" si="53"/>
        <v>28</v>
      </c>
      <c r="J622" t="s">
        <v>10</v>
      </c>
      <c r="K622" t="s">
        <v>8</v>
      </c>
      <c r="L622" t="s">
        <v>14</v>
      </c>
      <c r="M622" t="s">
        <v>26</v>
      </c>
      <c r="N622" t="s">
        <v>18</v>
      </c>
      <c r="O622">
        <v>6</v>
      </c>
      <c r="Q622" t="s">
        <v>50</v>
      </c>
      <c r="R622" t="str">
        <f t="shared" si="55"/>
        <v>10_31___03/28/2023_2023_MonMon_OWC_TR_RZ_Rz_6__Nutri</v>
      </c>
    </row>
    <row r="623" spans="1:18" x14ac:dyDescent="0.25">
      <c r="A623">
        <v>10</v>
      </c>
      <c r="B623">
        <v>32</v>
      </c>
      <c r="E623" s="1">
        <v>45013</v>
      </c>
      <c r="F623" s="11">
        <f t="shared" si="54"/>
        <v>45013</v>
      </c>
      <c r="G623">
        <f t="shared" si="56"/>
        <v>2023</v>
      </c>
      <c r="H623">
        <f t="shared" si="57"/>
        <v>3</v>
      </c>
      <c r="I623">
        <f t="shared" si="53"/>
        <v>28</v>
      </c>
      <c r="J623" t="s">
        <v>10</v>
      </c>
      <c r="K623" t="s">
        <v>8</v>
      </c>
      <c r="L623" t="s">
        <v>14</v>
      </c>
      <c r="M623" t="s">
        <v>26</v>
      </c>
      <c r="N623" t="s">
        <v>18</v>
      </c>
      <c r="O623">
        <v>7</v>
      </c>
      <c r="Q623" t="s">
        <v>50</v>
      </c>
      <c r="R623" t="str">
        <f t="shared" si="55"/>
        <v>10_32___03/28/2023_2023_MonMon_OWC_TR_RZ_Rz_7__Nutri</v>
      </c>
    </row>
    <row r="624" spans="1:18" x14ac:dyDescent="0.25">
      <c r="A624">
        <v>10</v>
      </c>
      <c r="B624">
        <v>33</v>
      </c>
      <c r="E624" s="1">
        <v>45013</v>
      </c>
      <c r="F624" s="11">
        <f t="shared" si="54"/>
        <v>45013</v>
      </c>
      <c r="G624">
        <f t="shared" si="56"/>
        <v>2023</v>
      </c>
      <c r="H624">
        <f t="shared" si="57"/>
        <v>3</v>
      </c>
      <c r="I624">
        <f t="shared" si="53"/>
        <v>28</v>
      </c>
      <c r="J624" t="s">
        <v>10</v>
      </c>
      <c r="K624" t="s">
        <v>8</v>
      </c>
      <c r="L624" t="s">
        <v>14</v>
      </c>
      <c r="M624" t="s">
        <v>26</v>
      </c>
      <c r="N624" t="s">
        <v>18</v>
      </c>
      <c r="O624">
        <v>8</v>
      </c>
      <c r="Q624" t="s">
        <v>50</v>
      </c>
      <c r="R624" t="str">
        <f t="shared" si="55"/>
        <v>10_33___03/28/2023_2023_MonMon_OWC_TR_RZ_Rz_8__Nutri</v>
      </c>
    </row>
    <row r="625" spans="1:18" x14ac:dyDescent="0.25">
      <c r="A625">
        <v>10</v>
      </c>
      <c r="B625">
        <v>34</v>
      </c>
      <c r="E625" s="1">
        <v>45013</v>
      </c>
      <c r="F625" s="11">
        <f t="shared" si="54"/>
        <v>45013</v>
      </c>
      <c r="G625">
        <f t="shared" si="56"/>
        <v>2023</v>
      </c>
      <c r="H625">
        <f t="shared" si="57"/>
        <v>3</v>
      </c>
      <c r="I625">
        <f t="shared" si="53"/>
        <v>28</v>
      </c>
      <c r="J625" t="s">
        <v>10</v>
      </c>
      <c r="K625" t="s">
        <v>8</v>
      </c>
      <c r="L625" t="s">
        <v>17</v>
      </c>
      <c r="M625" t="s">
        <v>26</v>
      </c>
      <c r="N625" t="s">
        <v>18</v>
      </c>
      <c r="O625">
        <v>2</v>
      </c>
      <c r="Q625" t="s">
        <v>50</v>
      </c>
      <c r="R625" t="str">
        <f t="shared" si="55"/>
        <v>10_34___03/28/2023_2023_MonMon_OWC_UP_RZ_Rz_2__Nutri</v>
      </c>
    </row>
    <row r="626" spans="1:18" x14ac:dyDescent="0.25">
      <c r="A626">
        <v>10</v>
      </c>
      <c r="B626">
        <v>35</v>
      </c>
      <c r="E626" s="1">
        <v>45013</v>
      </c>
      <c r="F626" s="11">
        <f t="shared" si="54"/>
        <v>45013</v>
      </c>
      <c r="G626">
        <f t="shared" si="56"/>
        <v>2023</v>
      </c>
      <c r="H626">
        <f t="shared" si="57"/>
        <v>3</v>
      </c>
      <c r="I626">
        <f t="shared" si="53"/>
        <v>28</v>
      </c>
      <c r="J626" t="s">
        <v>10</v>
      </c>
      <c r="K626" t="s">
        <v>8</v>
      </c>
      <c r="L626" t="s">
        <v>17</v>
      </c>
      <c r="M626" t="s">
        <v>26</v>
      </c>
      <c r="N626" t="s">
        <v>18</v>
      </c>
      <c r="O626">
        <v>3</v>
      </c>
      <c r="Q626" t="s">
        <v>50</v>
      </c>
      <c r="R626" t="str">
        <f t="shared" si="55"/>
        <v>10_35___03/28/2023_2023_MonMon_OWC_UP_RZ_Rz_3__Nutri</v>
      </c>
    </row>
    <row r="627" spans="1:18" x14ac:dyDescent="0.25">
      <c r="A627">
        <v>10</v>
      </c>
      <c r="B627">
        <v>36</v>
      </c>
      <c r="E627" s="1">
        <v>45013</v>
      </c>
      <c r="F627" s="11">
        <f t="shared" si="54"/>
        <v>45013</v>
      </c>
      <c r="G627">
        <f t="shared" si="56"/>
        <v>2023</v>
      </c>
      <c r="H627">
        <f t="shared" si="57"/>
        <v>3</v>
      </c>
      <c r="I627">
        <f t="shared" si="53"/>
        <v>28</v>
      </c>
      <c r="J627" t="s">
        <v>10</v>
      </c>
      <c r="K627" t="s">
        <v>8</v>
      </c>
      <c r="L627" t="s">
        <v>17</v>
      </c>
      <c r="M627" t="s">
        <v>26</v>
      </c>
      <c r="N627" t="s">
        <v>18</v>
      </c>
      <c r="O627">
        <v>4</v>
      </c>
      <c r="Q627" t="s">
        <v>50</v>
      </c>
      <c r="R627" t="str">
        <f t="shared" si="55"/>
        <v>10_36___03/28/2023_2023_MonMon_OWC_UP_RZ_Rz_4__Nutri</v>
      </c>
    </row>
    <row r="628" spans="1:18" x14ac:dyDescent="0.25">
      <c r="A628">
        <v>10</v>
      </c>
      <c r="B628">
        <v>37</v>
      </c>
      <c r="E628" s="1">
        <v>45013</v>
      </c>
      <c r="F628" s="11">
        <f t="shared" si="54"/>
        <v>45013</v>
      </c>
      <c r="G628">
        <f t="shared" si="56"/>
        <v>2023</v>
      </c>
      <c r="H628">
        <f t="shared" si="57"/>
        <v>3</v>
      </c>
      <c r="I628">
        <f t="shared" si="53"/>
        <v>28</v>
      </c>
      <c r="J628" t="s">
        <v>10</v>
      </c>
      <c r="K628" t="s">
        <v>8</v>
      </c>
      <c r="L628" t="s">
        <v>17</v>
      </c>
      <c r="M628" t="s">
        <v>26</v>
      </c>
      <c r="N628" t="s">
        <v>18</v>
      </c>
      <c r="O628">
        <v>5</v>
      </c>
      <c r="Q628" t="s">
        <v>50</v>
      </c>
      <c r="R628" t="str">
        <f t="shared" si="55"/>
        <v>10_37___03/28/2023_2023_MonMon_OWC_UP_RZ_Rz_5__Nutri</v>
      </c>
    </row>
    <row r="629" spans="1:18" x14ac:dyDescent="0.25">
      <c r="A629">
        <v>10</v>
      </c>
      <c r="B629">
        <v>38</v>
      </c>
      <c r="E629" s="1">
        <v>45013</v>
      </c>
      <c r="F629" s="11">
        <f t="shared" si="54"/>
        <v>45013</v>
      </c>
      <c r="G629">
        <f t="shared" si="56"/>
        <v>2023</v>
      </c>
      <c r="H629">
        <f t="shared" si="57"/>
        <v>3</v>
      </c>
      <c r="I629">
        <f t="shared" si="53"/>
        <v>28</v>
      </c>
      <c r="J629" t="s">
        <v>10</v>
      </c>
      <c r="K629" t="s">
        <v>8</v>
      </c>
      <c r="L629" t="s">
        <v>17</v>
      </c>
      <c r="M629" t="s">
        <v>26</v>
      </c>
      <c r="N629" t="s">
        <v>18</v>
      </c>
      <c r="O629">
        <v>6</v>
      </c>
      <c r="Q629" t="s">
        <v>50</v>
      </c>
      <c r="R629" t="str">
        <f t="shared" si="55"/>
        <v>10_38___03/28/2023_2023_MonMon_OWC_UP_RZ_Rz_6__Nutri</v>
      </c>
    </row>
    <row r="630" spans="1:18" x14ac:dyDescent="0.25">
      <c r="A630">
        <v>10</v>
      </c>
      <c r="B630">
        <v>39</v>
      </c>
      <c r="E630" s="1">
        <v>45013</v>
      </c>
      <c r="F630" s="11">
        <f t="shared" si="54"/>
        <v>45013</v>
      </c>
      <c r="G630">
        <f t="shared" si="56"/>
        <v>2023</v>
      </c>
      <c r="H630">
        <f t="shared" si="57"/>
        <v>3</v>
      </c>
      <c r="I630">
        <f t="shared" si="53"/>
        <v>28</v>
      </c>
      <c r="J630" t="s">
        <v>10</v>
      </c>
      <c r="K630" t="s">
        <v>8</v>
      </c>
      <c r="L630" t="s">
        <v>17</v>
      </c>
      <c r="M630" t="s">
        <v>26</v>
      </c>
      <c r="N630" t="s">
        <v>18</v>
      </c>
      <c r="O630">
        <v>7</v>
      </c>
      <c r="Q630" t="s">
        <v>50</v>
      </c>
      <c r="R630" t="str">
        <f t="shared" si="55"/>
        <v>10_39___03/28/2023_2023_MonMon_OWC_UP_RZ_Rz_7__Nutri</v>
      </c>
    </row>
    <row r="631" spans="1:18" x14ac:dyDescent="0.25">
      <c r="A631">
        <v>10</v>
      </c>
      <c r="B631">
        <v>40</v>
      </c>
      <c r="E631" s="1">
        <v>45013</v>
      </c>
      <c r="F631" s="11">
        <f t="shared" si="54"/>
        <v>45013</v>
      </c>
      <c r="G631">
        <f t="shared" si="56"/>
        <v>2023</v>
      </c>
      <c r="H631">
        <f t="shared" si="57"/>
        <v>3</v>
      </c>
      <c r="I631">
        <f t="shared" si="53"/>
        <v>28</v>
      </c>
      <c r="J631" t="s">
        <v>10</v>
      </c>
      <c r="K631" t="s">
        <v>8</v>
      </c>
      <c r="L631" t="s">
        <v>17</v>
      </c>
      <c r="M631" t="s">
        <v>26</v>
      </c>
      <c r="N631" t="s">
        <v>18</v>
      </c>
      <c r="O631">
        <v>8</v>
      </c>
      <c r="Q631" t="s">
        <v>50</v>
      </c>
      <c r="R631" t="str">
        <f t="shared" si="55"/>
        <v>10_40___03/28/2023_2023_MonMon_OWC_UP_RZ_Rz_8__Nutri</v>
      </c>
    </row>
    <row r="632" spans="1:18" s="6" customFormat="1" x14ac:dyDescent="0.25">
      <c r="A632" s="6">
        <v>10</v>
      </c>
      <c r="B632" s="6">
        <v>41</v>
      </c>
      <c r="E632" s="7">
        <v>45013</v>
      </c>
      <c r="F632" s="11">
        <f t="shared" si="54"/>
        <v>45013</v>
      </c>
      <c r="G632" s="6">
        <f t="shared" si="56"/>
        <v>2023</v>
      </c>
      <c r="H632" s="6">
        <f t="shared" si="57"/>
        <v>3</v>
      </c>
      <c r="I632" s="6">
        <f t="shared" si="53"/>
        <v>28</v>
      </c>
      <c r="J632" s="6" t="s">
        <v>10</v>
      </c>
      <c r="K632" s="6" t="s">
        <v>8</v>
      </c>
      <c r="L632" s="6" t="s">
        <v>28</v>
      </c>
      <c r="M632" s="6" t="s">
        <v>28</v>
      </c>
      <c r="O632" s="6" t="s">
        <v>23</v>
      </c>
      <c r="Q632" s="6" t="s">
        <v>50</v>
      </c>
      <c r="R632" t="str">
        <f t="shared" si="55"/>
        <v>10_41___03/28/2023_2023_MonMon_OWC_OW_OW__A__Nutri</v>
      </c>
    </row>
    <row r="633" spans="1:18" s="6" customFormat="1" x14ac:dyDescent="0.25">
      <c r="A633" s="6">
        <v>10</v>
      </c>
      <c r="B633" s="6">
        <v>42</v>
      </c>
      <c r="E633" s="7">
        <v>45013</v>
      </c>
      <c r="F633" s="11">
        <f t="shared" si="54"/>
        <v>45013</v>
      </c>
      <c r="G633" s="6">
        <f t="shared" si="56"/>
        <v>2023</v>
      </c>
      <c r="H633" s="6">
        <f t="shared" si="57"/>
        <v>3</v>
      </c>
      <c r="I633" s="6">
        <f t="shared" si="53"/>
        <v>28</v>
      </c>
      <c r="J633" s="6" t="s">
        <v>10</v>
      </c>
      <c r="K633" s="6" t="s">
        <v>8</v>
      </c>
      <c r="L633" s="6" t="s">
        <v>28</v>
      </c>
      <c r="M633" s="6" t="s">
        <v>28</v>
      </c>
      <c r="O633" s="6" t="s">
        <v>24</v>
      </c>
      <c r="Q633" s="6" t="s">
        <v>50</v>
      </c>
      <c r="R633" t="str">
        <f t="shared" si="55"/>
        <v>10_42___03/28/2023_2023_MonMon_OWC_OW_OW__B__Nutri</v>
      </c>
    </row>
    <row r="634" spans="1:18" s="6" customFormat="1" x14ac:dyDescent="0.25">
      <c r="A634" s="6">
        <v>10</v>
      </c>
      <c r="B634" s="6">
        <v>43</v>
      </c>
      <c r="E634" s="7">
        <v>45013</v>
      </c>
      <c r="F634" s="11">
        <f t="shared" si="54"/>
        <v>45013</v>
      </c>
      <c r="G634" s="6">
        <f t="shared" si="56"/>
        <v>2023</v>
      </c>
      <c r="H634" s="6">
        <f t="shared" si="57"/>
        <v>3</v>
      </c>
      <c r="I634" s="6">
        <f t="shared" si="53"/>
        <v>28</v>
      </c>
      <c r="J634" s="6" t="s">
        <v>10</v>
      </c>
      <c r="K634" s="6" t="s">
        <v>8</v>
      </c>
      <c r="L634" s="6" t="s">
        <v>28</v>
      </c>
      <c r="M634" s="6" t="s">
        <v>28</v>
      </c>
      <c r="O634" s="6" t="s">
        <v>25</v>
      </c>
      <c r="Q634" s="6" t="s">
        <v>50</v>
      </c>
      <c r="R634" t="str">
        <f t="shared" si="55"/>
        <v>10_43___03/28/2023_2023_MonMon_OWC_OW_OW__C__Nutri</v>
      </c>
    </row>
    <row r="635" spans="1:18" x14ac:dyDescent="0.25">
      <c r="A635">
        <v>10</v>
      </c>
      <c r="B635">
        <v>44</v>
      </c>
      <c r="E635" s="1">
        <v>45013</v>
      </c>
      <c r="F635" s="11">
        <f t="shared" si="54"/>
        <v>45013</v>
      </c>
      <c r="G635">
        <f t="shared" si="56"/>
        <v>2023</v>
      </c>
      <c r="H635">
        <f t="shared" si="57"/>
        <v>3</v>
      </c>
      <c r="I635">
        <f t="shared" ref="I635:I698" si="58">DAY(E635)</f>
        <v>28</v>
      </c>
      <c r="J635" t="s">
        <v>10</v>
      </c>
      <c r="K635" t="s">
        <v>8</v>
      </c>
      <c r="L635" t="s">
        <v>9</v>
      </c>
      <c r="M635" t="s">
        <v>29</v>
      </c>
      <c r="O635" t="s">
        <v>23</v>
      </c>
      <c r="Q635" t="s">
        <v>50</v>
      </c>
      <c r="R635" t="str">
        <f t="shared" si="55"/>
        <v>10_44___03/28/2023_2023_MonMon_OWC_W_Stream__A__Nutri</v>
      </c>
    </row>
    <row r="636" spans="1:18" x14ac:dyDescent="0.25">
      <c r="A636">
        <v>10</v>
      </c>
      <c r="B636">
        <v>45</v>
      </c>
      <c r="E636" s="1">
        <v>45013</v>
      </c>
      <c r="F636" s="11">
        <f t="shared" si="54"/>
        <v>45013</v>
      </c>
      <c r="G636">
        <f t="shared" si="56"/>
        <v>2023</v>
      </c>
      <c r="H636">
        <f t="shared" si="57"/>
        <v>3</v>
      </c>
      <c r="I636">
        <f t="shared" si="58"/>
        <v>28</v>
      </c>
      <c r="J636" t="s">
        <v>10</v>
      </c>
      <c r="K636" t="s">
        <v>8</v>
      </c>
      <c r="L636" t="s">
        <v>9</v>
      </c>
      <c r="M636" t="s">
        <v>29</v>
      </c>
      <c r="O636" t="s">
        <v>24</v>
      </c>
      <c r="Q636" t="s">
        <v>50</v>
      </c>
      <c r="R636" t="str">
        <f t="shared" si="55"/>
        <v>10_45___03/28/2023_2023_MonMon_OWC_W_Stream__B__Nutri</v>
      </c>
    </row>
    <row r="637" spans="1:18" x14ac:dyDescent="0.25">
      <c r="A637">
        <v>10</v>
      </c>
      <c r="B637">
        <v>46</v>
      </c>
      <c r="E637" s="1">
        <v>45013</v>
      </c>
      <c r="F637" s="11">
        <f t="shared" si="54"/>
        <v>45013</v>
      </c>
      <c r="G637">
        <f t="shared" si="56"/>
        <v>2023</v>
      </c>
      <c r="H637">
        <f t="shared" si="57"/>
        <v>3</v>
      </c>
      <c r="I637">
        <f t="shared" si="58"/>
        <v>28</v>
      </c>
      <c r="J637" t="s">
        <v>10</v>
      </c>
      <c r="K637" t="s">
        <v>8</v>
      </c>
      <c r="L637" t="s">
        <v>9</v>
      </c>
      <c r="M637" t="s">
        <v>29</v>
      </c>
      <c r="O637" t="s">
        <v>25</v>
      </c>
      <c r="Q637" t="s">
        <v>50</v>
      </c>
      <c r="R637" t="str">
        <f t="shared" si="55"/>
        <v>10_46___03/28/2023_2023_MonMon_OWC_W_Stream__C__Nutri</v>
      </c>
    </row>
    <row r="638" spans="1:18" x14ac:dyDescent="0.25">
      <c r="A638">
        <v>10</v>
      </c>
      <c r="B638">
        <v>47</v>
      </c>
      <c r="E638" s="1">
        <v>45013</v>
      </c>
      <c r="F638" s="11">
        <f t="shared" si="54"/>
        <v>45013</v>
      </c>
      <c r="G638">
        <f t="shared" si="56"/>
        <v>2023</v>
      </c>
      <c r="H638">
        <f t="shared" si="57"/>
        <v>3</v>
      </c>
      <c r="I638">
        <f t="shared" si="58"/>
        <v>28</v>
      </c>
      <c r="J638" t="s">
        <v>10</v>
      </c>
      <c r="K638" t="s">
        <v>8</v>
      </c>
      <c r="L638" t="s">
        <v>14</v>
      </c>
      <c r="M638" t="s">
        <v>29</v>
      </c>
      <c r="O638" t="s">
        <v>23</v>
      </c>
      <c r="Q638" t="s">
        <v>50</v>
      </c>
      <c r="R638" t="str">
        <f t="shared" si="55"/>
        <v>10_47___03/28/2023_2023_MonMon_OWC_TR_Stream__A__Nutri</v>
      </c>
    </row>
    <row r="639" spans="1:18" x14ac:dyDescent="0.25">
      <c r="A639">
        <v>10</v>
      </c>
      <c r="B639">
        <v>48</v>
      </c>
      <c r="E639" s="1">
        <v>45013</v>
      </c>
      <c r="F639" s="11">
        <f t="shared" si="54"/>
        <v>45013</v>
      </c>
      <c r="G639">
        <f t="shared" si="56"/>
        <v>2023</v>
      </c>
      <c r="H639">
        <f t="shared" si="57"/>
        <v>3</v>
      </c>
      <c r="I639">
        <f t="shared" si="58"/>
        <v>28</v>
      </c>
      <c r="J639" t="s">
        <v>10</v>
      </c>
      <c r="K639" t="s">
        <v>8</v>
      </c>
      <c r="L639" t="s">
        <v>14</v>
      </c>
      <c r="M639" t="s">
        <v>29</v>
      </c>
      <c r="O639" t="s">
        <v>24</v>
      </c>
      <c r="Q639" t="s">
        <v>50</v>
      </c>
      <c r="R639" t="str">
        <f t="shared" si="55"/>
        <v>10_48___03/28/2023_2023_MonMon_OWC_TR_Stream__B__Nutri</v>
      </c>
    </row>
    <row r="640" spans="1:18" x14ac:dyDescent="0.25">
      <c r="A640">
        <v>10</v>
      </c>
      <c r="B640">
        <v>49</v>
      </c>
      <c r="E640" s="1">
        <v>45013</v>
      </c>
      <c r="F640" s="11">
        <f t="shared" si="54"/>
        <v>45013</v>
      </c>
      <c r="G640">
        <f t="shared" si="56"/>
        <v>2023</v>
      </c>
      <c r="H640">
        <f t="shared" si="57"/>
        <v>3</v>
      </c>
      <c r="I640">
        <f t="shared" si="58"/>
        <v>28</v>
      </c>
      <c r="J640" t="s">
        <v>10</v>
      </c>
      <c r="K640" t="s">
        <v>8</v>
      </c>
      <c r="L640" t="s">
        <v>14</v>
      </c>
      <c r="M640" t="s">
        <v>29</v>
      </c>
      <c r="O640" t="s">
        <v>25</v>
      </c>
      <c r="Q640" t="s">
        <v>50</v>
      </c>
      <c r="R640" t="str">
        <f t="shared" si="55"/>
        <v>10_49___03/28/2023_2023_MonMon_OWC_TR_Stream__C__Nutri</v>
      </c>
    </row>
    <row r="641" spans="1:18" x14ac:dyDescent="0.25">
      <c r="A641">
        <v>10</v>
      </c>
      <c r="B641">
        <v>50</v>
      </c>
      <c r="E641" s="1">
        <v>45030</v>
      </c>
      <c r="F641" s="11">
        <f t="shared" si="54"/>
        <v>45030</v>
      </c>
      <c r="G641">
        <f t="shared" si="56"/>
        <v>2023</v>
      </c>
      <c r="H641">
        <f t="shared" si="57"/>
        <v>4</v>
      </c>
      <c r="I641">
        <f t="shared" si="58"/>
        <v>14</v>
      </c>
      <c r="J641" t="s">
        <v>10</v>
      </c>
      <c r="K641" t="s">
        <v>16</v>
      </c>
      <c r="L641" t="s">
        <v>9</v>
      </c>
      <c r="M641" t="s">
        <v>11</v>
      </c>
      <c r="N641" t="s">
        <v>27</v>
      </c>
      <c r="O641" t="s">
        <v>23</v>
      </c>
      <c r="P641">
        <v>10</v>
      </c>
      <c r="Q641" t="s">
        <v>50</v>
      </c>
      <c r="R641" t="str">
        <f t="shared" si="55"/>
        <v>10_50___04/14/2023_2023_MonMon_CRC_W_PW_Sip_A_10_Nutri</v>
      </c>
    </row>
    <row r="642" spans="1:18" x14ac:dyDescent="0.25">
      <c r="A642">
        <v>10</v>
      </c>
      <c r="B642">
        <v>51</v>
      </c>
      <c r="E642" s="1">
        <v>45030</v>
      </c>
      <c r="F642" s="11">
        <f t="shared" si="54"/>
        <v>45030</v>
      </c>
      <c r="G642">
        <f t="shared" si="56"/>
        <v>2023</v>
      </c>
      <c r="H642">
        <f t="shared" si="57"/>
        <v>4</v>
      </c>
      <c r="I642">
        <f t="shared" si="58"/>
        <v>14</v>
      </c>
      <c r="J642" t="s">
        <v>10</v>
      </c>
      <c r="K642" t="s">
        <v>16</v>
      </c>
      <c r="L642" t="s">
        <v>9</v>
      </c>
      <c r="M642" t="s">
        <v>11</v>
      </c>
      <c r="N642" t="s">
        <v>27</v>
      </c>
      <c r="O642" t="s">
        <v>23</v>
      </c>
      <c r="P642">
        <v>20</v>
      </c>
      <c r="Q642" t="s">
        <v>50</v>
      </c>
      <c r="R642" t="str">
        <f t="shared" si="55"/>
        <v>10_51___04/14/2023_2023_MonMon_CRC_W_PW_Sip_A_20_Nutri</v>
      </c>
    </row>
    <row r="643" spans="1:18" x14ac:dyDescent="0.25">
      <c r="A643">
        <v>10</v>
      </c>
      <c r="B643">
        <v>52</v>
      </c>
      <c r="E643" s="1">
        <v>45030</v>
      </c>
      <c r="F643" s="11">
        <f t="shared" ref="F643:F706" si="59">E643</f>
        <v>45030</v>
      </c>
      <c r="G643">
        <f t="shared" si="56"/>
        <v>2023</v>
      </c>
      <c r="H643">
        <f t="shared" si="57"/>
        <v>4</v>
      </c>
      <c r="I643">
        <f t="shared" si="58"/>
        <v>14</v>
      </c>
      <c r="J643" t="s">
        <v>10</v>
      </c>
      <c r="K643" t="s">
        <v>16</v>
      </c>
      <c r="L643" t="s">
        <v>9</v>
      </c>
      <c r="M643" t="s">
        <v>11</v>
      </c>
      <c r="N643" t="s">
        <v>27</v>
      </c>
      <c r="O643" t="s">
        <v>23</v>
      </c>
      <c r="P643">
        <v>45</v>
      </c>
      <c r="Q643" t="s">
        <v>50</v>
      </c>
      <c r="R643" t="str">
        <f t="shared" ref="R643:R706" si="60">CONCATENATE(A643,"_",B643,"_", C643,"_",D643,"_",TEXT(E643, "mm/dd/yyyy"),"_",G643,"_",J643,"_",K643,"_",L643,"_",M643,"_",N643,"_",O643,"_",P643,"_",Q643)</f>
        <v>10_52___04/14/2023_2023_MonMon_CRC_W_PW_Sip_A_45_Nutri</v>
      </c>
    </row>
    <row r="644" spans="1:18" x14ac:dyDescent="0.25">
      <c r="A644">
        <v>10</v>
      </c>
      <c r="B644">
        <v>53</v>
      </c>
      <c r="E644" s="1">
        <v>45030</v>
      </c>
      <c r="F644" s="11">
        <f t="shared" si="59"/>
        <v>45030</v>
      </c>
      <c r="G644">
        <f t="shared" si="56"/>
        <v>2023</v>
      </c>
      <c r="H644">
        <f t="shared" si="57"/>
        <v>4</v>
      </c>
      <c r="I644">
        <f t="shared" si="58"/>
        <v>14</v>
      </c>
      <c r="J644" t="s">
        <v>10</v>
      </c>
      <c r="K644" t="s">
        <v>16</v>
      </c>
      <c r="L644" t="s">
        <v>9</v>
      </c>
      <c r="M644" t="s">
        <v>11</v>
      </c>
      <c r="N644" t="s">
        <v>27</v>
      </c>
      <c r="O644" t="s">
        <v>24</v>
      </c>
      <c r="P644">
        <v>10</v>
      </c>
      <c r="Q644" t="s">
        <v>50</v>
      </c>
      <c r="R644" t="str">
        <f t="shared" si="60"/>
        <v>10_53___04/14/2023_2023_MonMon_CRC_W_PW_Sip_B_10_Nutri</v>
      </c>
    </row>
    <row r="645" spans="1:18" x14ac:dyDescent="0.25">
      <c r="A645">
        <v>10</v>
      </c>
      <c r="B645">
        <v>54</v>
      </c>
      <c r="E645" s="1">
        <v>45030</v>
      </c>
      <c r="F645" s="11">
        <f t="shared" si="59"/>
        <v>45030</v>
      </c>
      <c r="G645">
        <f t="shared" ref="G645:G708" si="61">YEAR(E645)</f>
        <v>2023</v>
      </c>
      <c r="H645">
        <f t="shared" ref="H645:H708" si="62">MONTH(E645)</f>
        <v>4</v>
      </c>
      <c r="I645">
        <f t="shared" si="58"/>
        <v>14</v>
      </c>
      <c r="J645" t="s">
        <v>10</v>
      </c>
      <c r="K645" t="s">
        <v>16</v>
      </c>
      <c r="L645" t="s">
        <v>9</v>
      </c>
      <c r="M645" t="s">
        <v>11</v>
      </c>
      <c r="N645" t="s">
        <v>27</v>
      </c>
      <c r="O645" t="s">
        <v>24</v>
      </c>
      <c r="P645">
        <v>20</v>
      </c>
      <c r="Q645" t="s">
        <v>50</v>
      </c>
      <c r="R645" t="str">
        <f t="shared" si="60"/>
        <v>10_54___04/14/2023_2023_MonMon_CRC_W_PW_Sip_B_20_Nutri</v>
      </c>
    </row>
    <row r="646" spans="1:18" x14ac:dyDescent="0.25">
      <c r="A646">
        <v>10</v>
      </c>
      <c r="B646">
        <v>55</v>
      </c>
      <c r="E646" s="1">
        <v>45030</v>
      </c>
      <c r="F646" s="11">
        <f t="shared" si="59"/>
        <v>45030</v>
      </c>
      <c r="G646">
        <f t="shared" si="61"/>
        <v>2023</v>
      </c>
      <c r="H646">
        <f t="shared" si="62"/>
        <v>4</v>
      </c>
      <c r="I646">
        <f t="shared" si="58"/>
        <v>14</v>
      </c>
      <c r="J646" t="s">
        <v>10</v>
      </c>
      <c r="K646" t="s">
        <v>16</v>
      </c>
      <c r="L646" t="s">
        <v>9</v>
      </c>
      <c r="M646" t="s">
        <v>11</v>
      </c>
      <c r="N646" t="s">
        <v>27</v>
      </c>
      <c r="O646" t="s">
        <v>24</v>
      </c>
      <c r="P646">
        <v>45</v>
      </c>
      <c r="Q646" t="s">
        <v>50</v>
      </c>
      <c r="R646" t="str">
        <f t="shared" si="60"/>
        <v>10_55___04/14/2023_2023_MonMon_CRC_W_PW_Sip_B_45_Nutri</v>
      </c>
    </row>
    <row r="647" spans="1:18" x14ac:dyDescent="0.25">
      <c r="A647">
        <v>10</v>
      </c>
      <c r="B647">
        <v>56</v>
      </c>
      <c r="E647" s="1">
        <v>45030</v>
      </c>
      <c r="F647" s="11">
        <f t="shared" si="59"/>
        <v>45030</v>
      </c>
      <c r="G647">
        <f t="shared" si="61"/>
        <v>2023</v>
      </c>
      <c r="H647">
        <f t="shared" si="62"/>
        <v>4</v>
      </c>
      <c r="I647">
        <f t="shared" si="58"/>
        <v>14</v>
      </c>
      <c r="J647" t="s">
        <v>10</v>
      </c>
      <c r="K647" t="s">
        <v>16</v>
      </c>
      <c r="L647" t="s">
        <v>9</v>
      </c>
      <c r="M647" t="s">
        <v>11</v>
      </c>
      <c r="N647" t="s">
        <v>27</v>
      </c>
      <c r="O647" t="s">
        <v>25</v>
      </c>
      <c r="P647">
        <v>10</v>
      </c>
      <c r="Q647" t="s">
        <v>50</v>
      </c>
      <c r="R647" t="str">
        <f t="shared" si="60"/>
        <v>10_56___04/14/2023_2023_MonMon_CRC_W_PW_Sip_C_10_Nutri</v>
      </c>
    </row>
    <row r="648" spans="1:18" x14ac:dyDescent="0.25">
      <c r="A648">
        <v>10</v>
      </c>
      <c r="B648">
        <v>57</v>
      </c>
      <c r="E648" s="1">
        <v>45030</v>
      </c>
      <c r="F648" s="11">
        <f t="shared" si="59"/>
        <v>45030</v>
      </c>
      <c r="G648">
        <f t="shared" si="61"/>
        <v>2023</v>
      </c>
      <c r="H648">
        <f t="shared" si="62"/>
        <v>4</v>
      </c>
      <c r="I648">
        <f t="shared" si="58"/>
        <v>14</v>
      </c>
      <c r="J648" t="s">
        <v>10</v>
      </c>
      <c r="K648" t="s">
        <v>16</v>
      </c>
      <c r="L648" t="s">
        <v>9</v>
      </c>
      <c r="M648" t="s">
        <v>11</v>
      </c>
      <c r="N648" t="s">
        <v>27</v>
      </c>
      <c r="O648" t="s">
        <v>25</v>
      </c>
      <c r="P648">
        <v>20</v>
      </c>
      <c r="Q648" t="s">
        <v>50</v>
      </c>
      <c r="R648" t="str">
        <f t="shared" si="60"/>
        <v>10_57___04/14/2023_2023_MonMon_CRC_W_PW_Sip_C_20_Nutri</v>
      </c>
    </row>
    <row r="649" spans="1:18" x14ac:dyDescent="0.25">
      <c r="A649">
        <v>10</v>
      </c>
      <c r="B649">
        <v>58</v>
      </c>
      <c r="E649" s="1">
        <v>45030</v>
      </c>
      <c r="F649" s="11">
        <f t="shared" si="59"/>
        <v>45030</v>
      </c>
      <c r="G649">
        <f t="shared" si="61"/>
        <v>2023</v>
      </c>
      <c r="H649">
        <f t="shared" si="62"/>
        <v>4</v>
      </c>
      <c r="I649">
        <f t="shared" si="58"/>
        <v>14</v>
      </c>
      <c r="J649" t="s">
        <v>10</v>
      </c>
      <c r="K649" t="s">
        <v>16</v>
      </c>
      <c r="L649" t="s">
        <v>9</v>
      </c>
      <c r="M649" t="s">
        <v>11</v>
      </c>
      <c r="N649" t="s">
        <v>27</v>
      </c>
      <c r="O649" t="s">
        <v>25</v>
      </c>
      <c r="P649">
        <v>45</v>
      </c>
      <c r="Q649" t="s">
        <v>50</v>
      </c>
      <c r="R649" t="str">
        <f t="shared" si="60"/>
        <v>10_58___04/14/2023_2023_MonMon_CRC_W_PW_Sip_C_45_Nutri</v>
      </c>
    </row>
    <row r="650" spans="1:18" x14ac:dyDescent="0.25">
      <c r="A650">
        <v>10</v>
      </c>
      <c r="B650">
        <v>59</v>
      </c>
      <c r="E650" s="1">
        <v>45030</v>
      </c>
      <c r="F650" s="11">
        <f t="shared" si="59"/>
        <v>45030</v>
      </c>
      <c r="G650">
        <f t="shared" si="61"/>
        <v>2023</v>
      </c>
      <c r="H650">
        <f t="shared" si="62"/>
        <v>4</v>
      </c>
      <c r="I650">
        <f t="shared" si="58"/>
        <v>14</v>
      </c>
      <c r="J650" t="s">
        <v>10</v>
      </c>
      <c r="K650" t="s">
        <v>16</v>
      </c>
      <c r="L650" t="s">
        <v>14</v>
      </c>
      <c r="M650" t="s">
        <v>11</v>
      </c>
      <c r="N650" t="s">
        <v>15</v>
      </c>
      <c r="O650" t="s">
        <v>23</v>
      </c>
      <c r="P650">
        <v>10</v>
      </c>
      <c r="Q650" t="s">
        <v>50</v>
      </c>
      <c r="R650" t="str">
        <f t="shared" si="60"/>
        <v>10_59___04/14/2023_2023_MonMon_CRC_TR_PW_Lys_A_10_Nutri</v>
      </c>
    </row>
    <row r="651" spans="1:18" x14ac:dyDescent="0.25">
      <c r="A651">
        <v>10</v>
      </c>
      <c r="B651">
        <v>60</v>
      </c>
      <c r="E651" s="1">
        <v>45030</v>
      </c>
      <c r="F651" s="11">
        <f t="shared" si="59"/>
        <v>45030</v>
      </c>
      <c r="G651">
        <f t="shared" si="61"/>
        <v>2023</v>
      </c>
      <c r="H651">
        <f t="shared" si="62"/>
        <v>4</v>
      </c>
      <c r="I651">
        <f t="shared" si="58"/>
        <v>14</v>
      </c>
      <c r="J651" t="s">
        <v>10</v>
      </c>
      <c r="K651" t="s">
        <v>16</v>
      </c>
      <c r="L651" t="s">
        <v>14</v>
      </c>
      <c r="M651" t="s">
        <v>11</v>
      </c>
      <c r="N651" t="s">
        <v>15</v>
      </c>
      <c r="O651" t="s">
        <v>23</v>
      </c>
      <c r="P651">
        <v>20</v>
      </c>
      <c r="Q651" t="s">
        <v>50</v>
      </c>
      <c r="R651" t="str">
        <f t="shared" si="60"/>
        <v>10_60___04/14/2023_2023_MonMon_CRC_TR_PW_Lys_A_20_Nutri</v>
      </c>
    </row>
    <row r="652" spans="1:18" x14ac:dyDescent="0.25">
      <c r="A652">
        <v>10</v>
      </c>
      <c r="B652">
        <v>61</v>
      </c>
      <c r="E652" s="1">
        <v>45030</v>
      </c>
      <c r="F652" s="11">
        <f t="shared" si="59"/>
        <v>45030</v>
      </c>
      <c r="G652">
        <f t="shared" si="61"/>
        <v>2023</v>
      </c>
      <c r="H652">
        <f t="shared" si="62"/>
        <v>4</v>
      </c>
      <c r="I652">
        <f t="shared" si="58"/>
        <v>14</v>
      </c>
      <c r="J652" t="s">
        <v>10</v>
      </c>
      <c r="K652" t="s">
        <v>16</v>
      </c>
      <c r="L652" t="s">
        <v>14</v>
      </c>
      <c r="M652" t="s">
        <v>11</v>
      </c>
      <c r="N652" t="s">
        <v>15</v>
      </c>
      <c r="O652" t="s">
        <v>23</v>
      </c>
      <c r="P652">
        <v>45</v>
      </c>
      <c r="Q652" t="s">
        <v>50</v>
      </c>
      <c r="R652" t="str">
        <f t="shared" si="60"/>
        <v>10_61___04/14/2023_2023_MonMon_CRC_TR_PW_Lys_A_45_Nutri</v>
      </c>
    </row>
    <row r="653" spans="1:18" x14ac:dyDescent="0.25">
      <c r="A653">
        <v>10</v>
      </c>
      <c r="B653">
        <v>62</v>
      </c>
      <c r="E653" s="1">
        <v>45030</v>
      </c>
      <c r="F653" s="11">
        <f t="shared" si="59"/>
        <v>45030</v>
      </c>
      <c r="G653">
        <f t="shared" si="61"/>
        <v>2023</v>
      </c>
      <c r="H653">
        <f t="shared" si="62"/>
        <v>4</v>
      </c>
      <c r="I653">
        <f t="shared" si="58"/>
        <v>14</v>
      </c>
      <c r="J653" t="s">
        <v>10</v>
      </c>
      <c r="K653" t="s">
        <v>16</v>
      </c>
      <c r="L653" t="s">
        <v>14</v>
      </c>
      <c r="M653" t="s">
        <v>11</v>
      </c>
      <c r="N653" t="s">
        <v>15</v>
      </c>
      <c r="O653" t="s">
        <v>24</v>
      </c>
      <c r="P653">
        <v>10</v>
      </c>
      <c r="Q653" t="s">
        <v>50</v>
      </c>
      <c r="R653" t="str">
        <f t="shared" si="60"/>
        <v>10_62___04/14/2023_2023_MonMon_CRC_TR_PW_Lys_B_10_Nutri</v>
      </c>
    </row>
    <row r="654" spans="1:18" x14ac:dyDescent="0.25">
      <c r="A654">
        <v>10</v>
      </c>
      <c r="B654">
        <v>63</v>
      </c>
      <c r="E654" s="1">
        <v>45030</v>
      </c>
      <c r="F654" s="11">
        <f t="shared" si="59"/>
        <v>45030</v>
      </c>
      <c r="G654">
        <f t="shared" si="61"/>
        <v>2023</v>
      </c>
      <c r="H654">
        <f t="shared" si="62"/>
        <v>4</v>
      </c>
      <c r="I654">
        <f t="shared" si="58"/>
        <v>14</v>
      </c>
      <c r="J654" t="s">
        <v>10</v>
      </c>
      <c r="K654" t="s">
        <v>16</v>
      </c>
      <c r="L654" t="s">
        <v>14</v>
      </c>
      <c r="M654" t="s">
        <v>11</v>
      </c>
      <c r="N654" t="s">
        <v>15</v>
      </c>
      <c r="O654" t="s">
        <v>24</v>
      </c>
      <c r="P654">
        <v>20</v>
      </c>
      <c r="Q654" t="s">
        <v>50</v>
      </c>
      <c r="R654" t="str">
        <f t="shared" si="60"/>
        <v>10_63___04/14/2023_2023_MonMon_CRC_TR_PW_Lys_B_20_Nutri</v>
      </c>
    </row>
    <row r="655" spans="1:18" x14ac:dyDescent="0.25">
      <c r="A655">
        <v>10</v>
      </c>
      <c r="B655">
        <v>64</v>
      </c>
      <c r="E655" s="1">
        <v>45030</v>
      </c>
      <c r="F655" s="11">
        <f t="shared" si="59"/>
        <v>45030</v>
      </c>
      <c r="G655">
        <f t="shared" si="61"/>
        <v>2023</v>
      </c>
      <c r="H655">
        <f t="shared" si="62"/>
        <v>4</v>
      </c>
      <c r="I655">
        <f t="shared" si="58"/>
        <v>14</v>
      </c>
      <c r="J655" t="s">
        <v>10</v>
      </c>
      <c r="K655" t="s">
        <v>16</v>
      </c>
      <c r="L655" t="s">
        <v>14</v>
      </c>
      <c r="M655" t="s">
        <v>11</v>
      </c>
      <c r="N655" t="s">
        <v>15</v>
      </c>
      <c r="O655" t="s">
        <v>24</v>
      </c>
      <c r="P655">
        <v>45</v>
      </c>
      <c r="Q655" t="s">
        <v>50</v>
      </c>
      <c r="R655" t="str">
        <f t="shared" si="60"/>
        <v>10_64___04/14/2023_2023_MonMon_CRC_TR_PW_Lys_B_45_Nutri</v>
      </c>
    </row>
    <row r="656" spans="1:18" x14ac:dyDescent="0.25">
      <c r="A656">
        <v>10</v>
      </c>
      <c r="B656">
        <v>65</v>
      </c>
      <c r="E656" s="1">
        <v>45030</v>
      </c>
      <c r="F656" s="11">
        <f t="shared" si="59"/>
        <v>45030</v>
      </c>
      <c r="G656">
        <f t="shared" si="61"/>
        <v>2023</v>
      </c>
      <c r="H656">
        <f t="shared" si="62"/>
        <v>4</v>
      </c>
      <c r="I656">
        <f t="shared" si="58"/>
        <v>14</v>
      </c>
      <c r="J656" t="s">
        <v>10</v>
      </c>
      <c r="K656" t="s">
        <v>16</v>
      </c>
      <c r="L656" t="s">
        <v>14</v>
      </c>
      <c r="M656" t="s">
        <v>11</v>
      </c>
      <c r="N656" t="s">
        <v>15</v>
      </c>
      <c r="O656" t="s">
        <v>25</v>
      </c>
      <c r="P656">
        <v>10</v>
      </c>
      <c r="Q656" t="s">
        <v>50</v>
      </c>
      <c r="R656" t="str">
        <f t="shared" si="60"/>
        <v>10_65___04/14/2023_2023_MonMon_CRC_TR_PW_Lys_C_10_Nutri</v>
      </c>
    </row>
    <row r="657" spans="1:18" x14ac:dyDescent="0.25">
      <c r="A657">
        <v>10</v>
      </c>
      <c r="B657">
        <v>66</v>
      </c>
      <c r="E657" s="1">
        <v>45030</v>
      </c>
      <c r="F657" s="11">
        <f t="shared" si="59"/>
        <v>45030</v>
      </c>
      <c r="G657">
        <f t="shared" si="61"/>
        <v>2023</v>
      </c>
      <c r="H657">
        <f t="shared" si="62"/>
        <v>4</v>
      </c>
      <c r="I657">
        <f t="shared" si="58"/>
        <v>14</v>
      </c>
      <c r="J657" t="s">
        <v>10</v>
      </c>
      <c r="K657" t="s">
        <v>16</v>
      </c>
      <c r="L657" t="s">
        <v>14</v>
      </c>
      <c r="M657" t="s">
        <v>11</v>
      </c>
      <c r="N657" t="s">
        <v>15</v>
      </c>
      <c r="O657" t="s">
        <v>25</v>
      </c>
      <c r="P657">
        <v>20</v>
      </c>
      <c r="Q657" t="s">
        <v>50</v>
      </c>
      <c r="R657" t="str">
        <f t="shared" si="60"/>
        <v>10_66___04/14/2023_2023_MonMon_CRC_TR_PW_Lys_C_20_Nutri</v>
      </c>
    </row>
    <row r="658" spans="1:18" x14ac:dyDescent="0.25">
      <c r="A658">
        <v>10</v>
      </c>
      <c r="B658">
        <v>67</v>
      </c>
      <c r="E658" s="1">
        <v>45030</v>
      </c>
      <c r="F658" s="11">
        <f t="shared" si="59"/>
        <v>45030</v>
      </c>
      <c r="G658">
        <f t="shared" si="61"/>
        <v>2023</v>
      </c>
      <c r="H658">
        <f t="shared" si="62"/>
        <v>4</v>
      </c>
      <c r="I658">
        <f t="shared" si="58"/>
        <v>14</v>
      </c>
      <c r="J658" t="s">
        <v>10</v>
      </c>
      <c r="K658" t="s">
        <v>16</v>
      </c>
      <c r="L658" t="s">
        <v>14</v>
      </c>
      <c r="M658" t="s">
        <v>11</v>
      </c>
      <c r="N658" t="s">
        <v>15</v>
      </c>
      <c r="O658" t="s">
        <v>25</v>
      </c>
      <c r="P658">
        <v>45</v>
      </c>
      <c r="Q658" t="s">
        <v>50</v>
      </c>
      <c r="R658" t="str">
        <f t="shared" si="60"/>
        <v>10_67___04/14/2023_2023_MonMon_CRC_TR_PW_Lys_C_45_Nutri</v>
      </c>
    </row>
    <row r="659" spans="1:18" x14ac:dyDescent="0.25">
      <c r="A659">
        <v>10</v>
      </c>
      <c r="B659">
        <v>68</v>
      </c>
      <c r="E659" s="1">
        <v>45030</v>
      </c>
      <c r="F659" s="11">
        <f t="shared" si="59"/>
        <v>45030</v>
      </c>
      <c r="G659">
        <f t="shared" si="61"/>
        <v>2023</v>
      </c>
      <c r="H659">
        <f t="shared" si="62"/>
        <v>4</v>
      </c>
      <c r="I659">
        <f t="shared" si="58"/>
        <v>14</v>
      </c>
      <c r="J659" t="s">
        <v>10</v>
      </c>
      <c r="K659" t="s">
        <v>16</v>
      </c>
      <c r="L659" t="s">
        <v>17</v>
      </c>
      <c r="M659" t="s">
        <v>11</v>
      </c>
      <c r="N659" t="s">
        <v>15</v>
      </c>
      <c r="O659" t="s">
        <v>23</v>
      </c>
      <c r="P659">
        <v>10</v>
      </c>
      <c r="Q659" t="s">
        <v>50</v>
      </c>
      <c r="R659" t="str">
        <f t="shared" si="60"/>
        <v>10_68___04/14/2023_2023_MonMon_CRC_UP_PW_Lys_A_10_Nutri</v>
      </c>
    </row>
    <row r="660" spans="1:18" x14ac:dyDescent="0.25">
      <c r="A660">
        <v>10</v>
      </c>
      <c r="B660">
        <v>69</v>
      </c>
      <c r="E660" s="1">
        <v>45030</v>
      </c>
      <c r="F660" s="11">
        <f t="shared" si="59"/>
        <v>45030</v>
      </c>
      <c r="G660">
        <f t="shared" si="61"/>
        <v>2023</v>
      </c>
      <c r="H660">
        <f t="shared" si="62"/>
        <v>4</v>
      </c>
      <c r="I660">
        <f t="shared" si="58"/>
        <v>14</v>
      </c>
      <c r="J660" t="s">
        <v>10</v>
      </c>
      <c r="K660" t="s">
        <v>16</v>
      </c>
      <c r="L660" t="s">
        <v>17</v>
      </c>
      <c r="M660" t="s">
        <v>11</v>
      </c>
      <c r="N660" t="s">
        <v>15</v>
      </c>
      <c r="O660" t="s">
        <v>23</v>
      </c>
      <c r="P660">
        <v>20</v>
      </c>
      <c r="Q660" t="s">
        <v>50</v>
      </c>
      <c r="R660" t="str">
        <f t="shared" si="60"/>
        <v>10_69___04/14/2023_2023_MonMon_CRC_UP_PW_Lys_A_20_Nutri</v>
      </c>
    </row>
    <row r="661" spans="1:18" x14ac:dyDescent="0.25">
      <c r="A661">
        <v>10</v>
      </c>
      <c r="B661">
        <v>70</v>
      </c>
      <c r="E661" s="1">
        <v>45030</v>
      </c>
      <c r="F661" s="11">
        <f t="shared" si="59"/>
        <v>45030</v>
      </c>
      <c r="G661">
        <f t="shared" si="61"/>
        <v>2023</v>
      </c>
      <c r="H661">
        <f t="shared" si="62"/>
        <v>4</v>
      </c>
      <c r="I661">
        <f t="shared" si="58"/>
        <v>14</v>
      </c>
      <c r="J661" t="s">
        <v>10</v>
      </c>
      <c r="K661" t="s">
        <v>16</v>
      </c>
      <c r="L661" t="s">
        <v>17</v>
      </c>
      <c r="M661" t="s">
        <v>11</v>
      </c>
      <c r="N661" t="s">
        <v>15</v>
      </c>
      <c r="O661" t="s">
        <v>24</v>
      </c>
      <c r="P661">
        <v>10</v>
      </c>
      <c r="Q661" t="s">
        <v>50</v>
      </c>
      <c r="R661" t="str">
        <f t="shared" si="60"/>
        <v>10_70___04/14/2023_2023_MonMon_CRC_UP_PW_Lys_B_10_Nutri</v>
      </c>
    </row>
    <row r="662" spans="1:18" s="6" customFormat="1" x14ac:dyDescent="0.25">
      <c r="A662" s="6">
        <v>10</v>
      </c>
      <c r="B662" s="6">
        <v>71</v>
      </c>
      <c r="E662" s="7">
        <v>45030</v>
      </c>
      <c r="F662" s="11">
        <f t="shared" si="59"/>
        <v>45030</v>
      </c>
      <c r="G662" s="6">
        <f t="shared" si="61"/>
        <v>2023</v>
      </c>
      <c r="H662" s="6">
        <f t="shared" si="62"/>
        <v>4</v>
      </c>
      <c r="I662" s="6">
        <f t="shared" si="58"/>
        <v>14</v>
      </c>
      <c r="J662" s="6" t="s">
        <v>10</v>
      </c>
      <c r="K662" s="6" t="s">
        <v>16</v>
      </c>
      <c r="L662" s="6" t="s">
        <v>28</v>
      </c>
      <c r="M662" s="6" t="s">
        <v>28</v>
      </c>
      <c r="O662" s="6" t="s">
        <v>23</v>
      </c>
      <c r="Q662" s="6" t="s">
        <v>50</v>
      </c>
      <c r="R662" t="str">
        <f t="shared" si="60"/>
        <v>10_71___04/14/2023_2023_MonMon_CRC_OW_OW__A__Nutri</v>
      </c>
    </row>
    <row r="663" spans="1:18" s="6" customFormat="1" x14ac:dyDescent="0.25">
      <c r="A663" s="6">
        <v>10</v>
      </c>
      <c r="B663" s="6">
        <v>72</v>
      </c>
      <c r="E663" s="7">
        <v>45030</v>
      </c>
      <c r="F663" s="11">
        <f t="shared" si="59"/>
        <v>45030</v>
      </c>
      <c r="G663" s="6">
        <f t="shared" si="61"/>
        <v>2023</v>
      </c>
      <c r="H663" s="6">
        <f t="shared" si="62"/>
        <v>4</v>
      </c>
      <c r="I663" s="6">
        <f t="shared" si="58"/>
        <v>14</v>
      </c>
      <c r="J663" s="6" t="s">
        <v>10</v>
      </c>
      <c r="K663" s="6" t="s">
        <v>16</v>
      </c>
      <c r="L663" s="6" t="s">
        <v>28</v>
      </c>
      <c r="M663" s="6" t="s">
        <v>28</v>
      </c>
      <c r="O663" s="6" t="s">
        <v>24</v>
      </c>
      <c r="Q663" s="6" t="s">
        <v>50</v>
      </c>
      <c r="R663" t="str">
        <f t="shared" si="60"/>
        <v>10_72___04/14/2023_2023_MonMon_CRC_OW_OW__B__Nutri</v>
      </c>
    </row>
    <row r="664" spans="1:18" s="6" customFormat="1" x14ac:dyDescent="0.25">
      <c r="A664" s="6">
        <v>10</v>
      </c>
      <c r="B664" s="6">
        <v>73</v>
      </c>
      <c r="E664" s="7">
        <v>45030</v>
      </c>
      <c r="F664" s="11">
        <f t="shared" si="59"/>
        <v>45030</v>
      </c>
      <c r="G664" s="6">
        <f t="shared" si="61"/>
        <v>2023</v>
      </c>
      <c r="H664" s="6">
        <f t="shared" si="62"/>
        <v>4</v>
      </c>
      <c r="I664" s="6">
        <f t="shared" si="58"/>
        <v>14</v>
      </c>
      <c r="J664" s="6" t="s">
        <v>10</v>
      </c>
      <c r="K664" s="6" t="s">
        <v>16</v>
      </c>
      <c r="L664" s="6" t="s">
        <v>28</v>
      </c>
      <c r="M664" s="6" t="s">
        <v>28</v>
      </c>
      <c r="O664" s="6" t="s">
        <v>25</v>
      </c>
      <c r="Q664" s="6" t="s">
        <v>50</v>
      </c>
      <c r="R664" t="str">
        <f t="shared" si="60"/>
        <v>10_73___04/14/2023_2023_MonMon_CRC_OW_OW__C__Nutri</v>
      </c>
    </row>
    <row r="665" spans="1:18" x14ac:dyDescent="0.25">
      <c r="A665">
        <v>10</v>
      </c>
      <c r="B665">
        <v>74</v>
      </c>
      <c r="E665" s="1">
        <v>45030</v>
      </c>
      <c r="F665" s="11">
        <f t="shared" si="59"/>
        <v>45030</v>
      </c>
      <c r="G665">
        <f t="shared" si="61"/>
        <v>2023</v>
      </c>
      <c r="H665">
        <f t="shared" si="62"/>
        <v>4</v>
      </c>
      <c r="I665">
        <f t="shared" si="58"/>
        <v>14</v>
      </c>
      <c r="J665" t="s">
        <v>10</v>
      </c>
      <c r="K665" t="s">
        <v>16</v>
      </c>
      <c r="L665" t="s">
        <v>14</v>
      </c>
      <c r="M665" t="s">
        <v>26</v>
      </c>
      <c r="N665" t="s">
        <v>18</v>
      </c>
      <c r="O665">
        <v>1</v>
      </c>
      <c r="Q665" t="s">
        <v>50</v>
      </c>
      <c r="R665" t="str">
        <f t="shared" si="60"/>
        <v>10_74___04/14/2023_2023_MonMon_CRC_TR_RZ_Rz_1__Nutri</v>
      </c>
    </row>
    <row r="666" spans="1:18" x14ac:dyDescent="0.25">
      <c r="A666">
        <v>10</v>
      </c>
      <c r="B666">
        <v>75</v>
      </c>
      <c r="E666" s="1">
        <v>45030</v>
      </c>
      <c r="F666" s="11">
        <f t="shared" si="59"/>
        <v>45030</v>
      </c>
      <c r="G666">
        <f t="shared" si="61"/>
        <v>2023</v>
      </c>
      <c r="H666">
        <f t="shared" si="62"/>
        <v>4</v>
      </c>
      <c r="I666">
        <f t="shared" si="58"/>
        <v>14</v>
      </c>
      <c r="J666" t="s">
        <v>10</v>
      </c>
      <c r="K666" t="s">
        <v>16</v>
      </c>
      <c r="L666" t="s">
        <v>14</v>
      </c>
      <c r="M666" t="s">
        <v>26</v>
      </c>
      <c r="N666" t="s">
        <v>18</v>
      </c>
      <c r="O666">
        <v>2</v>
      </c>
      <c r="Q666" t="s">
        <v>50</v>
      </c>
      <c r="R666" t="str">
        <f t="shared" si="60"/>
        <v>10_75___04/14/2023_2023_MonMon_CRC_TR_RZ_Rz_2__Nutri</v>
      </c>
    </row>
    <row r="667" spans="1:18" x14ac:dyDescent="0.25">
      <c r="A667">
        <v>10</v>
      </c>
      <c r="B667">
        <v>76</v>
      </c>
      <c r="E667" s="1">
        <v>45030</v>
      </c>
      <c r="F667" s="11">
        <f t="shared" si="59"/>
        <v>45030</v>
      </c>
      <c r="G667">
        <f t="shared" si="61"/>
        <v>2023</v>
      </c>
      <c r="H667">
        <f t="shared" si="62"/>
        <v>4</v>
      </c>
      <c r="I667">
        <f t="shared" si="58"/>
        <v>14</v>
      </c>
      <c r="J667" t="s">
        <v>10</v>
      </c>
      <c r="K667" t="s">
        <v>16</v>
      </c>
      <c r="L667" t="s">
        <v>14</v>
      </c>
      <c r="M667" t="s">
        <v>26</v>
      </c>
      <c r="N667" t="s">
        <v>18</v>
      </c>
      <c r="O667">
        <v>3</v>
      </c>
      <c r="Q667" t="s">
        <v>50</v>
      </c>
      <c r="R667" t="str">
        <f t="shared" si="60"/>
        <v>10_76___04/14/2023_2023_MonMon_CRC_TR_RZ_Rz_3__Nutri</v>
      </c>
    </row>
    <row r="668" spans="1:18" x14ac:dyDescent="0.25">
      <c r="A668">
        <v>10</v>
      </c>
      <c r="B668">
        <v>77</v>
      </c>
      <c r="E668" s="1">
        <v>45030</v>
      </c>
      <c r="F668" s="11">
        <f t="shared" si="59"/>
        <v>45030</v>
      </c>
      <c r="G668">
        <f t="shared" si="61"/>
        <v>2023</v>
      </c>
      <c r="H668">
        <f t="shared" si="62"/>
        <v>4</v>
      </c>
      <c r="I668">
        <f t="shared" si="58"/>
        <v>14</v>
      </c>
      <c r="J668" t="s">
        <v>10</v>
      </c>
      <c r="K668" t="s">
        <v>16</v>
      </c>
      <c r="L668" t="s">
        <v>14</v>
      </c>
      <c r="M668" t="s">
        <v>26</v>
      </c>
      <c r="N668" t="s">
        <v>18</v>
      </c>
      <c r="O668">
        <v>4</v>
      </c>
      <c r="Q668" t="s">
        <v>50</v>
      </c>
      <c r="R668" t="str">
        <f t="shared" si="60"/>
        <v>10_77___04/14/2023_2023_MonMon_CRC_TR_RZ_Rz_4__Nutri</v>
      </c>
    </row>
    <row r="669" spans="1:18" x14ac:dyDescent="0.25">
      <c r="A669">
        <v>10</v>
      </c>
      <c r="B669">
        <v>78</v>
      </c>
      <c r="E669" s="1">
        <v>45030</v>
      </c>
      <c r="F669" s="11">
        <f t="shared" si="59"/>
        <v>45030</v>
      </c>
      <c r="G669">
        <f t="shared" si="61"/>
        <v>2023</v>
      </c>
      <c r="H669">
        <f t="shared" si="62"/>
        <v>4</v>
      </c>
      <c r="I669">
        <f t="shared" si="58"/>
        <v>14</v>
      </c>
      <c r="J669" t="s">
        <v>10</v>
      </c>
      <c r="K669" t="s">
        <v>16</v>
      </c>
      <c r="L669" t="s">
        <v>14</v>
      </c>
      <c r="M669" t="s">
        <v>26</v>
      </c>
      <c r="N669" t="s">
        <v>18</v>
      </c>
      <c r="O669">
        <v>5</v>
      </c>
      <c r="Q669" t="s">
        <v>50</v>
      </c>
      <c r="R669" t="str">
        <f t="shared" si="60"/>
        <v>10_78___04/14/2023_2023_MonMon_CRC_TR_RZ_Rz_5__Nutri</v>
      </c>
    </row>
    <row r="670" spans="1:18" x14ac:dyDescent="0.25">
      <c r="A670">
        <v>10</v>
      </c>
      <c r="B670">
        <v>79</v>
      </c>
      <c r="E670" s="1">
        <v>45030</v>
      </c>
      <c r="F670" s="11">
        <f t="shared" si="59"/>
        <v>45030</v>
      </c>
      <c r="G670">
        <f t="shared" si="61"/>
        <v>2023</v>
      </c>
      <c r="H670">
        <f t="shared" si="62"/>
        <v>4</v>
      </c>
      <c r="I670">
        <f t="shared" si="58"/>
        <v>14</v>
      </c>
      <c r="J670" t="s">
        <v>10</v>
      </c>
      <c r="K670" t="s">
        <v>16</v>
      </c>
      <c r="L670" t="s">
        <v>14</v>
      </c>
      <c r="M670" t="s">
        <v>26</v>
      </c>
      <c r="N670" t="s">
        <v>18</v>
      </c>
      <c r="O670">
        <v>6</v>
      </c>
      <c r="Q670" t="s">
        <v>50</v>
      </c>
      <c r="R670" t="str">
        <f t="shared" si="60"/>
        <v>10_79___04/14/2023_2023_MonMon_CRC_TR_RZ_Rz_6__Nutri</v>
      </c>
    </row>
    <row r="671" spans="1:18" x14ac:dyDescent="0.25">
      <c r="A671">
        <v>10</v>
      </c>
      <c r="B671">
        <v>80</v>
      </c>
      <c r="E671" s="1">
        <v>45030</v>
      </c>
      <c r="F671" s="11">
        <f t="shared" si="59"/>
        <v>45030</v>
      </c>
      <c r="G671">
        <f t="shared" si="61"/>
        <v>2023</v>
      </c>
      <c r="H671">
        <f t="shared" si="62"/>
        <v>4</v>
      </c>
      <c r="I671">
        <f t="shared" si="58"/>
        <v>14</v>
      </c>
      <c r="J671" t="s">
        <v>10</v>
      </c>
      <c r="K671" t="s">
        <v>16</v>
      </c>
      <c r="L671" t="s">
        <v>14</v>
      </c>
      <c r="M671" t="s">
        <v>26</v>
      </c>
      <c r="N671" t="s">
        <v>18</v>
      </c>
      <c r="O671">
        <v>7</v>
      </c>
      <c r="Q671" t="s">
        <v>50</v>
      </c>
      <c r="R671" t="str">
        <f t="shared" si="60"/>
        <v>10_80___04/14/2023_2023_MonMon_CRC_TR_RZ_Rz_7__Nutri</v>
      </c>
    </row>
    <row r="672" spans="1:18" x14ac:dyDescent="0.25">
      <c r="A672">
        <v>10</v>
      </c>
      <c r="B672">
        <v>81</v>
      </c>
      <c r="E672" s="1">
        <v>45030</v>
      </c>
      <c r="F672" s="11">
        <f t="shared" si="59"/>
        <v>45030</v>
      </c>
      <c r="G672">
        <f t="shared" si="61"/>
        <v>2023</v>
      </c>
      <c r="H672">
        <f t="shared" si="62"/>
        <v>4</v>
      </c>
      <c r="I672">
        <f t="shared" si="58"/>
        <v>14</v>
      </c>
      <c r="J672" t="s">
        <v>10</v>
      </c>
      <c r="K672" t="s">
        <v>16</v>
      </c>
      <c r="L672" t="s">
        <v>14</v>
      </c>
      <c r="M672" t="s">
        <v>26</v>
      </c>
      <c r="N672" t="s">
        <v>18</v>
      </c>
      <c r="O672">
        <v>8</v>
      </c>
      <c r="Q672" t="s">
        <v>50</v>
      </c>
      <c r="R672" t="str">
        <f t="shared" si="60"/>
        <v>10_81___04/14/2023_2023_MonMon_CRC_TR_RZ_Rz_8__Nutri</v>
      </c>
    </row>
    <row r="673" spans="1:18" x14ac:dyDescent="0.25">
      <c r="A673">
        <v>10</v>
      </c>
      <c r="B673">
        <v>82</v>
      </c>
      <c r="E673" s="1">
        <v>45030</v>
      </c>
      <c r="F673" s="11">
        <f t="shared" si="59"/>
        <v>45030</v>
      </c>
      <c r="G673">
        <f t="shared" si="61"/>
        <v>2023</v>
      </c>
      <c r="H673">
        <f t="shared" si="62"/>
        <v>4</v>
      </c>
      <c r="I673">
        <f t="shared" si="58"/>
        <v>14</v>
      </c>
      <c r="J673" t="s">
        <v>10</v>
      </c>
      <c r="K673" t="s">
        <v>16</v>
      </c>
      <c r="L673" t="s">
        <v>17</v>
      </c>
      <c r="M673" t="s">
        <v>26</v>
      </c>
      <c r="N673" t="s">
        <v>18</v>
      </c>
      <c r="O673">
        <v>1</v>
      </c>
      <c r="Q673" t="s">
        <v>50</v>
      </c>
      <c r="R673" t="str">
        <f t="shared" si="60"/>
        <v>10_82___04/14/2023_2023_MonMon_CRC_UP_RZ_Rz_1__Nutri</v>
      </c>
    </row>
    <row r="674" spans="1:18" x14ac:dyDescent="0.25">
      <c r="A674">
        <v>10</v>
      </c>
      <c r="B674">
        <v>83</v>
      </c>
      <c r="E674" s="1">
        <v>45030</v>
      </c>
      <c r="F674" s="11">
        <f t="shared" si="59"/>
        <v>45030</v>
      </c>
      <c r="G674">
        <f t="shared" si="61"/>
        <v>2023</v>
      </c>
      <c r="H674">
        <f t="shared" si="62"/>
        <v>4</v>
      </c>
      <c r="I674">
        <f t="shared" si="58"/>
        <v>14</v>
      </c>
      <c r="J674" t="s">
        <v>10</v>
      </c>
      <c r="K674" t="s">
        <v>16</v>
      </c>
      <c r="L674" t="s">
        <v>17</v>
      </c>
      <c r="M674" t="s">
        <v>26</v>
      </c>
      <c r="N674" t="s">
        <v>18</v>
      </c>
      <c r="O674">
        <v>2</v>
      </c>
      <c r="Q674" t="s">
        <v>50</v>
      </c>
      <c r="R674" t="str">
        <f t="shared" si="60"/>
        <v>10_83___04/14/2023_2023_MonMon_CRC_UP_RZ_Rz_2__Nutri</v>
      </c>
    </row>
    <row r="675" spans="1:18" x14ac:dyDescent="0.25">
      <c r="A675">
        <v>10</v>
      </c>
      <c r="B675">
        <v>84</v>
      </c>
      <c r="E675" s="1">
        <v>45030</v>
      </c>
      <c r="F675" s="11">
        <f t="shared" si="59"/>
        <v>45030</v>
      </c>
      <c r="G675">
        <f t="shared" si="61"/>
        <v>2023</v>
      </c>
      <c r="H675">
        <f t="shared" si="62"/>
        <v>4</v>
      </c>
      <c r="I675">
        <f t="shared" si="58"/>
        <v>14</v>
      </c>
      <c r="J675" t="s">
        <v>10</v>
      </c>
      <c r="K675" t="s">
        <v>16</v>
      </c>
      <c r="L675" t="s">
        <v>17</v>
      </c>
      <c r="M675" t="s">
        <v>26</v>
      </c>
      <c r="N675" t="s">
        <v>18</v>
      </c>
      <c r="O675">
        <v>5</v>
      </c>
      <c r="Q675" t="s">
        <v>50</v>
      </c>
      <c r="R675" t="str">
        <f t="shared" si="60"/>
        <v>10_84___04/14/2023_2023_MonMon_CRC_UP_RZ_Rz_5__Nutri</v>
      </c>
    </row>
    <row r="676" spans="1:18" x14ac:dyDescent="0.25">
      <c r="A676">
        <v>10</v>
      </c>
      <c r="B676">
        <v>85</v>
      </c>
      <c r="E676" s="1">
        <v>45030</v>
      </c>
      <c r="F676" s="11">
        <f t="shared" si="59"/>
        <v>45030</v>
      </c>
      <c r="G676">
        <f t="shared" si="61"/>
        <v>2023</v>
      </c>
      <c r="H676">
        <f t="shared" si="62"/>
        <v>4</v>
      </c>
      <c r="I676">
        <f t="shared" si="58"/>
        <v>14</v>
      </c>
      <c r="J676" t="s">
        <v>10</v>
      </c>
      <c r="K676" t="s">
        <v>16</v>
      </c>
      <c r="L676" t="s">
        <v>17</v>
      </c>
      <c r="M676" t="s">
        <v>26</v>
      </c>
      <c r="N676" t="s">
        <v>18</v>
      </c>
      <c r="O676">
        <v>6</v>
      </c>
      <c r="Q676" t="s">
        <v>50</v>
      </c>
      <c r="R676" t="str">
        <f t="shared" si="60"/>
        <v>10_85___04/14/2023_2023_MonMon_CRC_UP_RZ_Rz_6__Nutri</v>
      </c>
    </row>
    <row r="677" spans="1:18" x14ac:dyDescent="0.25">
      <c r="A677">
        <v>10</v>
      </c>
      <c r="B677">
        <v>86</v>
      </c>
      <c r="E677" s="1">
        <v>45030</v>
      </c>
      <c r="F677" s="11">
        <f t="shared" si="59"/>
        <v>45030</v>
      </c>
      <c r="G677">
        <f t="shared" si="61"/>
        <v>2023</v>
      </c>
      <c r="H677">
        <f t="shared" si="62"/>
        <v>4</v>
      </c>
      <c r="I677">
        <f t="shared" si="58"/>
        <v>14</v>
      </c>
      <c r="J677" t="s">
        <v>10</v>
      </c>
      <c r="K677" t="s">
        <v>16</v>
      </c>
      <c r="L677" t="s">
        <v>17</v>
      </c>
      <c r="M677" t="s">
        <v>26</v>
      </c>
      <c r="N677" t="s">
        <v>18</v>
      </c>
      <c r="O677">
        <v>8</v>
      </c>
      <c r="Q677" t="s">
        <v>50</v>
      </c>
      <c r="R677" t="str">
        <f t="shared" si="60"/>
        <v>10_86___04/14/2023_2023_MonMon_CRC_UP_RZ_Rz_8__Nutri</v>
      </c>
    </row>
    <row r="678" spans="1:18" x14ac:dyDescent="0.25">
      <c r="A678">
        <v>11</v>
      </c>
      <c r="B678">
        <v>1</v>
      </c>
      <c r="E678" s="1">
        <v>45057</v>
      </c>
      <c r="F678" s="11">
        <f t="shared" si="59"/>
        <v>45057</v>
      </c>
      <c r="G678">
        <f t="shared" si="61"/>
        <v>2023</v>
      </c>
      <c r="H678">
        <f t="shared" si="62"/>
        <v>5</v>
      </c>
      <c r="I678">
        <f t="shared" si="58"/>
        <v>11</v>
      </c>
      <c r="J678" t="s">
        <v>10</v>
      </c>
      <c r="K678" t="s">
        <v>8</v>
      </c>
      <c r="L678" t="s">
        <v>51</v>
      </c>
      <c r="M678" t="s">
        <v>11</v>
      </c>
      <c r="N678" t="s">
        <v>27</v>
      </c>
      <c r="O678" t="s">
        <v>23</v>
      </c>
      <c r="P678">
        <v>20</v>
      </c>
      <c r="Q678" t="s">
        <v>50</v>
      </c>
      <c r="R678" t="str">
        <f t="shared" si="60"/>
        <v>11_1___05/11/2023_2023_MonMon_OWC_WE_PW_Sip_A_20_Nutri</v>
      </c>
    </row>
    <row r="679" spans="1:18" x14ac:dyDescent="0.25">
      <c r="A679">
        <v>11</v>
      </c>
      <c r="B679">
        <v>2</v>
      </c>
      <c r="E679" s="1">
        <v>45057</v>
      </c>
      <c r="F679" s="11">
        <f t="shared" si="59"/>
        <v>45057</v>
      </c>
      <c r="G679">
        <f t="shared" si="61"/>
        <v>2023</v>
      </c>
      <c r="H679">
        <f t="shared" si="62"/>
        <v>5</v>
      </c>
      <c r="I679">
        <f t="shared" si="58"/>
        <v>11</v>
      </c>
      <c r="J679" t="s">
        <v>10</v>
      </c>
      <c r="K679" t="s">
        <v>8</v>
      </c>
      <c r="L679" t="s">
        <v>51</v>
      </c>
      <c r="M679" t="s">
        <v>11</v>
      </c>
      <c r="N679" t="s">
        <v>27</v>
      </c>
      <c r="O679" t="s">
        <v>23</v>
      </c>
      <c r="P679">
        <v>45</v>
      </c>
      <c r="Q679" t="s">
        <v>50</v>
      </c>
      <c r="R679" t="str">
        <f t="shared" si="60"/>
        <v>11_2___05/11/2023_2023_MonMon_OWC_WE_PW_Sip_A_45_Nutri</v>
      </c>
    </row>
    <row r="680" spans="1:18" x14ac:dyDescent="0.25">
      <c r="A680">
        <v>11</v>
      </c>
      <c r="B680">
        <v>3</v>
      </c>
      <c r="E680" s="1">
        <v>45057</v>
      </c>
      <c r="F680" s="11">
        <f t="shared" si="59"/>
        <v>45057</v>
      </c>
      <c r="G680">
        <f t="shared" si="61"/>
        <v>2023</v>
      </c>
      <c r="H680">
        <f t="shared" si="62"/>
        <v>5</v>
      </c>
      <c r="I680">
        <f t="shared" si="58"/>
        <v>11</v>
      </c>
      <c r="J680" t="s">
        <v>10</v>
      </c>
      <c r="K680" t="s">
        <v>8</v>
      </c>
      <c r="L680" t="s">
        <v>51</v>
      </c>
      <c r="M680" t="s">
        <v>11</v>
      </c>
      <c r="N680" t="s">
        <v>27</v>
      </c>
      <c r="O680" t="s">
        <v>24</v>
      </c>
      <c r="P680">
        <v>10</v>
      </c>
      <c r="Q680" t="s">
        <v>50</v>
      </c>
      <c r="R680" t="str">
        <f t="shared" si="60"/>
        <v>11_3___05/11/2023_2023_MonMon_OWC_WE_PW_Sip_B_10_Nutri</v>
      </c>
    </row>
    <row r="681" spans="1:18" x14ac:dyDescent="0.25">
      <c r="A681">
        <v>11</v>
      </c>
      <c r="B681">
        <v>4</v>
      </c>
      <c r="E681" s="1">
        <v>45057</v>
      </c>
      <c r="F681" s="11">
        <f t="shared" si="59"/>
        <v>45057</v>
      </c>
      <c r="G681">
        <f t="shared" si="61"/>
        <v>2023</v>
      </c>
      <c r="H681">
        <f t="shared" si="62"/>
        <v>5</v>
      </c>
      <c r="I681">
        <f t="shared" si="58"/>
        <v>11</v>
      </c>
      <c r="J681" t="s">
        <v>10</v>
      </c>
      <c r="K681" t="s">
        <v>8</v>
      </c>
      <c r="L681" t="s">
        <v>51</v>
      </c>
      <c r="M681" t="s">
        <v>11</v>
      </c>
      <c r="N681" t="s">
        <v>27</v>
      </c>
      <c r="O681" t="s">
        <v>24</v>
      </c>
      <c r="P681">
        <v>20</v>
      </c>
      <c r="Q681" t="s">
        <v>50</v>
      </c>
      <c r="R681" t="str">
        <f t="shared" si="60"/>
        <v>11_4___05/11/2023_2023_MonMon_OWC_WE_PW_Sip_B_20_Nutri</v>
      </c>
    </row>
    <row r="682" spans="1:18" x14ac:dyDescent="0.25">
      <c r="A682">
        <v>11</v>
      </c>
      <c r="B682">
        <v>5</v>
      </c>
      <c r="E682" s="1">
        <v>45057</v>
      </c>
      <c r="F682" s="11">
        <f t="shared" si="59"/>
        <v>45057</v>
      </c>
      <c r="G682">
        <f t="shared" si="61"/>
        <v>2023</v>
      </c>
      <c r="H682">
        <f t="shared" si="62"/>
        <v>5</v>
      </c>
      <c r="I682">
        <f t="shared" si="58"/>
        <v>11</v>
      </c>
      <c r="J682" t="s">
        <v>10</v>
      </c>
      <c r="K682" t="s">
        <v>8</v>
      </c>
      <c r="L682" t="s">
        <v>51</v>
      </c>
      <c r="M682" t="s">
        <v>11</v>
      </c>
      <c r="N682" t="s">
        <v>27</v>
      </c>
      <c r="O682" t="s">
        <v>24</v>
      </c>
      <c r="P682">
        <v>45</v>
      </c>
      <c r="Q682" t="s">
        <v>50</v>
      </c>
      <c r="R682" t="str">
        <f t="shared" si="60"/>
        <v>11_5___05/11/2023_2023_MonMon_OWC_WE_PW_Sip_B_45_Nutri</v>
      </c>
    </row>
    <row r="683" spans="1:18" x14ac:dyDescent="0.25">
      <c r="A683">
        <v>11</v>
      </c>
      <c r="B683">
        <v>6</v>
      </c>
      <c r="E683" s="1">
        <v>45057</v>
      </c>
      <c r="F683" s="11">
        <f t="shared" si="59"/>
        <v>45057</v>
      </c>
      <c r="G683">
        <f t="shared" si="61"/>
        <v>2023</v>
      </c>
      <c r="H683">
        <f t="shared" si="62"/>
        <v>5</v>
      </c>
      <c r="I683">
        <f t="shared" si="58"/>
        <v>11</v>
      </c>
      <c r="J683" t="s">
        <v>10</v>
      </c>
      <c r="K683" t="s">
        <v>8</v>
      </c>
      <c r="L683" t="s">
        <v>51</v>
      </c>
      <c r="M683" t="s">
        <v>11</v>
      </c>
      <c r="N683" t="s">
        <v>27</v>
      </c>
      <c r="O683" t="s">
        <v>25</v>
      </c>
      <c r="P683">
        <v>20</v>
      </c>
      <c r="Q683" t="s">
        <v>50</v>
      </c>
      <c r="R683" t="str">
        <f t="shared" si="60"/>
        <v>11_6___05/11/2023_2023_MonMon_OWC_WE_PW_Sip_C_20_Nutri</v>
      </c>
    </row>
    <row r="684" spans="1:18" x14ac:dyDescent="0.25">
      <c r="A684">
        <v>11</v>
      </c>
      <c r="B684">
        <v>7</v>
      </c>
      <c r="E684" s="1">
        <v>45057</v>
      </c>
      <c r="F684" s="11">
        <f t="shared" si="59"/>
        <v>45057</v>
      </c>
      <c r="G684">
        <f t="shared" si="61"/>
        <v>2023</v>
      </c>
      <c r="H684">
        <f t="shared" si="62"/>
        <v>5</v>
      </c>
      <c r="I684">
        <f t="shared" si="58"/>
        <v>11</v>
      </c>
      <c r="J684" t="s">
        <v>10</v>
      </c>
      <c r="K684" t="s">
        <v>8</v>
      </c>
      <c r="L684" t="s">
        <v>51</v>
      </c>
      <c r="M684" t="s">
        <v>11</v>
      </c>
      <c r="N684" t="s">
        <v>27</v>
      </c>
      <c r="O684" t="s">
        <v>25</v>
      </c>
      <c r="P684">
        <v>45</v>
      </c>
      <c r="Q684" t="s">
        <v>50</v>
      </c>
      <c r="R684" t="str">
        <f t="shared" si="60"/>
        <v>11_7___05/11/2023_2023_MonMon_OWC_WE_PW_Sip_C_45_Nutri</v>
      </c>
    </row>
    <row r="685" spans="1:18" x14ac:dyDescent="0.25">
      <c r="A685">
        <v>11</v>
      </c>
      <c r="B685">
        <v>8</v>
      </c>
      <c r="E685" s="1">
        <v>45057</v>
      </c>
      <c r="F685" s="11">
        <f t="shared" si="59"/>
        <v>45057</v>
      </c>
      <c r="G685">
        <f t="shared" si="61"/>
        <v>2023</v>
      </c>
      <c r="H685">
        <f t="shared" si="62"/>
        <v>5</v>
      </c>
      <c r="I685">
        <f t="shared" si="58"/>
        <v>11</v>
      </c>
      <c r="J685" t="s">
        <v>10</v>
      </c>
      <c r="K685" t="s">
        <v>8</v>
      </c>
      <c r="L685" t="s">
        <v>14</v>
      </c>
      <c r="M685" t="s">
        <v>11</v>
      </c>
      <c r="N685" t="s">
        <v>15</v>
      </c>
      <c r="O685" t="s">
        <v>23</v>
      </c>
      <c r="P685">
        <v>10</v>
      </c>
      <c r="Q685" t="s">
        <v>50</v>
      </c>
      <c r="R685" t="str">
        <f t="shared" si="60"/>
        <v>11_8___05/11/2023_2023_MonMon_OWC_TR_PW_Lys_A_10_Nutri</v>
      </c>
    </row>
    <row r="686" spans="1:18" x14ac:dyDescent="0.25">
      <c r="A686">
        <v>11</v>
      </c>
      <c r="B686">
        <v>9</v>
      </c>
      <c r="E686" s="1">
        <v>45057</v>
      </c>
      <c r="F686" s="11">
        <f t="shared" si="59"/>
        <v>45057</v>
      </c>
      <c r="G686">
        <f t="shared" si="61"/>
        <v>2023</v>
      </c>
      <c r="H686">
        <f t="shared" si="62"/>
        <v>5</v>
      </c>
      <c r="I686">
        <f t="shared" si="58"/>
        <v>11</v>
      </c>
      <c r="J686" t="s">
        <v>10</v>
      </c>
      <c r="K686" t="s">
        <v>8</v>
      </c>
      <c r="L686" t="s">
        <v>14</v>
      </c>
      <c r="M686" t="s">
        <v>11</v>
      </c>
      <c r="N686" t="s">
        <v>15</v>
      </c>
      <c r="O686" t="s">
        <v>23</v>
      </c>
      <c r="P686">
        <v>20</v>
      </c>
      <c r="Q686" t="s">
        <v>50</v>
      </c>
      <c r="R686" t="str">
        <f t="shared" si="60"/>
        <v>11_9___05/11/2023_2023_MonMon_OWC_TR_PW_Lys_A_20_Nutri</v>
      </c>
    </row>
    <row r="687" spans="1:18" x14ac:dyDescent="0.25">
      <c r="A687">
        <v>11</v>
      </c>
      <c r="B687">
        <v>10</v>
      </c>
      <c r="E687" s="1">
        <v>45057</v>
      </c>
      <c r="F687" s="11">
        <f t="shared" si="59"/>
        <v>45057</v>
      </c>
      <c r="G687">
        <f t="shared" si="61"/>
        <v>2023</v>
      </c>
      <c r="H687">
        <f t="shared" si="62"/>
        <v>5</v>
      </c>
      <c r="I687">
        <f t="shared" si="58"/>
        <v>11</v>
      </c>
      <c r="J687" t="s">
        <v>10</v>
      </c>
      <c r="K687" t="s">
        <v>8</v>
      </c>
      <c r="L687" t="s">
        <v>14</v>
      </c>
      <c r="M687" t="s">
        <v>11</v>
      </c>
      <c r="N687" t="s">
        <v>15</v>
      </c>
      <c r="O687" t="s">
        <v>23</v>
      </c>
      <c r="P687">
        <v>45</v>
      </c>
      <c r="Q687" t="s">
        <v>50</v>
      </c>
      <c r="R687" t="str">
        <f t="shared" si="60"/>
        <v>11_10___05/11/2023_2023_MonMon_OWC_TR_PW_Lys_A_45_Nutri</v>
      </c>
    </row>
    <row r="688" spans="1:18" x14ac:dyDescent="0.25">
      <c r="A688">
        <v>11</v>
      </c>
      <c r="B688">
        <v>11</v>
      </c>
      <c r="E688" s="1">
        <v>45057</v>
      </c>
      <c r="F688" s="11">
        <f t="shared" si="59"/>
        <v>45057</v>
      </c>
      <c r="G688">
        <f t="shared" si="61"/>
        <v>2023</v>
      </c>
      <c r="H688">
        <f t="shared" si="62"/>
        <v>5</v>
      </c>
      <c r="I688">
        <f t="shared" si="58"/>
        <v>11</v>
      </c>
      <c r="J688" t="s">
        <v>10</v>
      </c>
      <c r="K688" t="s">
        <v>8</v>
      </c>
      <c r="L688" t="s">
        <v>14</v>
      </c>
      <c r="M688" t="s">
        <v>11</v>
      </c>
      <c r="N688" t="s">
        <v>15</v>
      </c>
      <c r="O688" t="s">
        <v>24</v>
      </c>
      <c r="P688">
        <v>10</v>
      </c>
      <c r="Q688" t="s">
        <v>50</v>
      </c>
      <c r="R688" t="str">
        <f t="shared" si="60"/>
        <v>11_11___05/11/2023_2023_MonMon_OWC_TR_PW_Lys_B_10_Nutri</v>
      </c>
    </row>
    <row r="689" spans="1:18" x14ac:dyDescent="0.25">
      <c r="A689">
        <v>11</v>
      </c>
      <c r="B689">
        <v>12</v>
      </c>
      <c r="E689" s="1">
        <v>45057</v>
      </c>
      <c r="F689" s="11">
        <f t="shared" si="59"/>
        <v>45057</v>
      </c>
      <c r="G689">
        <f t="shared" si="61"/>
        <v>2023</v>
      </c>
      <c r="H689">
        <f t="shared" si="62"/>
        <v>5</v>
      </c>
      <c r="I689">
        <f t="shared" si="58"/>
        <v>11</v>
      </c>
      <c r="J689" t="s">
        <v>10</v>
      </c>
      <c r="K689" t="s">
        <v>8</v>
      </c>
      <c r="L689" t="s">
        <v>14</v>
      </c>
      <c r="M689" t="s">
        <v>11</v>
      </c>
      <c r="N689" t="s">
        <v>15</v>
      </c>
      <c r="O689" t="s">
        <v>24</v>
      </c>
      <c r="P689">
        <v>20</v>
      </c>
      <c r="Q689" t="s">
        <v>50</v>
      </c>
      <c r="R689" t="str">
        <f t="shared" si="60"/>
        <v>11_12___05/11/2023_2023_MonMon_OWC_TR_PW_Lys_B_20_Nutri</v>
      </c>
    </row>
    <row r="690" spans="1:18" x14ac:dyDescent="0.25">
      <c r="A690">
        <v>11</v>
      </c>
      <c r="B690">
        <v>13</v>
      </c>
      <c r="E690" s="1">
        <v>45057</v>
      </c>
      <c r="F690" s="11">
        <f t="shared" si="59"/>
        <v>45057</v>
      </c>
      <c r="G690">
        <f t="shared" si="61"/>
        <v>2023</v>
      </c>
      <c r="H690">
        <f t="shared" si="62"/>
        <v>5</v>
      </c>
      <c r="I690">
        <f t="shared" si="58"/>
        <v>11</v>
      </c>
      <c r="J690" t="s">
        <v>10</v>
      </c>
      <c r="K690" t="s">
        <v>8</v>
      </c>
      <c r="L690" t="s">
        <v>14</v>
      </c>
      <c r="M690" t="s">
        <v>11</v>
      </c>
      <c r="N690" t="s">
        <v>15</v>
      </c>
      <c r="O690" t="s">
        <v>24</v>
      </c>
      <c r="P690">
        <v>45</v>
      </c>
      <c r="Q690" t="s">
        <v>50</v>
      </c>
      <c r="R690" t="str">
        <f t="shared" si="60"/>
        <v>11_13___05/11/2023_2023_MonMon_OWC_TR_PW_Lys_B_45_Nutri</v>
      </c>
    </row>
    <row r="691" spans="1:18" x14ac:dyDescent="0.25">
      <c r="A691">
        <v>11</v>
      </c>
      <c r="B691">
        <v>14</v>
      </c>
      <c r="E691" s="1">
        <v>45057</v>
      </c>
      <c r="F691" s="11">
        <f t="shared" si="59"/>
        <v>45057</v>
      </c>
      <c r="G691">
        <f t="shared" si="61"/>
        <v>2023</v>
      </c>
      <c r="H691">
        <f t="shared" si="62"/>
        <v>5</v>
      </c>
      <c r="I691">
        <f t="shared" si="58"/>
        <v>11</v>
      </c>
      <c r="J691" t="s">
        <v>10</v>
      </c>
      <c r="K691" t="s">
        <v>8</v>
      </c>
      <c r="L691" t="s">
        <v>14</v>
      </c>
      <c r="M691" t="s">
        <v>11</v>
      </c>
      <c r="N691" t="s">
        <v>15</v>
      </c>
      <c r="O691" t="s">
        <v>25</v>
      </c>
      <c r="P691">
        <v>10</v>
      </c>
      <c r="Q691" t="s">
        <v>50</v>
      </c>
      <c r="R691" t="str">
        <f t="shared" si="60"/>
        <v>11_14___05/11/2023_2023_MonMon_OWC_TR_PW_Lys_C_10_Nutri</v>
      </c>
    </row>
    <row r="692" spans="1:18" x14ac:dyDescent="0.25">
      <c r="A692">
        <v>11</v>
      </c>
      <c r="B692">
        <v>15</v>
      </c>
      <c r="E692" s="1">
        <v>45057</v>
      </c>
      <c r="F692" s="11">
        <f t="shared" si="59"/>
        <v>45057</v>
      </c>
      <c r="G692">
        <f t="shared" si="61"/>
        <v>2023</v>
      </c>
      <c r="H692">
        <f t="shared" si="62"/>
        <v>5</v>
      </c>
      <c r="I692">
        <f t="shared" si="58"/>
        <v>11</v>
      </c>
      <c r="J692" t="s">
        <v>10</v>
      </c>
      <c r="K692" t="s">
        <v>8</v>
      </c>
      <c r="L692" t="s">
        <v>14</v>
      </c>
      <c r="M692" t="s">
        <v>11</v>
      </c>
      <c r="N692" t="s">
        <v>15</v>
      </c>
      <c r="O692" t="s">
        <v>25</v>
      </c>
      <c r="P692">
        <v>20</v>
      </c>
      <c r="Q692" t="s">
        <v>50</v>
      </c>
      <c r="R692" t="str">
        <f t="shared" si="60"/>
        <v>11_15___05/11/2023_2023_MonMon_OWC_TR_PW_Lys_C_20_Nutri</v>
      </c>
    </row>
    <row r="693" spans="1:18" x14ac:dyDescent="0.25">
      <c r="A693">
        <v>11</v>
      </c>
      <c r="B693">
        <v>16</v>
      </c>
      <c r="E693" s="1">
        <v>45057</v>
      </c>
      <c r="F693" s="11">
        <f t="shared" si="59"/>
        <v>45057</v>
      </c>
      <c r="G693">
        <f t="shared" si="61"/>
        <v>2023</v>
      </c>
      <c r="H693">
        <f t="shared" si="62"/>
        <v>5</v>
      </c>
      <c r="I693">
        <f t="shared" si="58"/>
        <v>11</v>
      </c>
      <c r="J693" t="s">
        <v>10</v>
      </c>
      <c r="K693" t="s">
        <v>8</v>
      </c>
      <c r="L693" t="s">
        <v>14</v>
      </c>
      <c r="M693" t="s">
        <v>11</v>
      </c>
      <c r="N693" t="s">
        <v>15</v>
      </c>
      <c r="O693" t="s">
        <v>25</v>
      </c>
      <c r="P693">
        <v>45</v>
      </c>
      <c r="Q693" t="s">
        <v>50</v>
      </c>
      <c r="R693" t="str">
        <f t="shared" si="60"/>
        <v>11_16___05/11/2023_2023_MonMon_OWC_TR_PW_Lys_C_45_Nutri</v>
      </c>
    </row>
    <row r="694" spans="1:18" s="6" customFormat="1" x14ac:dyDescent="0.25">
      <c r="A694" s="6">
        <v>11</v>
      </c>
      <c r="B694" s="6">
        <v>17</v>
      </c>
      <c r="E694" s="7">
        <v>45057</v>
      </c>
      <c r="F694" s="11">
        <f t="shared" si="59"/>
        <v>45057</v>
      </c>
      <c r="G694" s="6">
        <f t="shared" si="61"/>
        <v>2023</v>
      </c>
      <c r="H694" s="6">
        <f t="shared" si="62"/>
        <v>5</v>
      </c>
      <c r="I694" s="6">
        <f t="shared" si="58"/>
        <v>11</v>
      </c>
      <c r="J694" s="6" t="s">
        <v>10</v>
      </c>
      <c r="K694" s="6" t="s">
        <v>8</v>
      </c>
      <c r="L694" s="6" t="s">
        <v>28</v>
      </c>
      <c r="M694" s="6" t="s">
        <v>28</v>
      </c>
      <c r="O694" s="6" t="s">
        <v>23</v>
      </c>
      <c r="Q694" s="6" t="s">
        <v>50</v>
      </c>
      <c r="R694" t="str">
        <f t="shared" si="60"/>
        <v>11_17___05/11/2023_2023_MonMon_OWC_OW_OW__A__Nutri</v>
      </c>
    </row>
    <row r="695" spans="1:18" s="6" customFormat="1" x14ac:dyDescent="0.25">
      <c r="A695" s="6">
        <v>11</v>
      </c>
      <c r="B695" s="6">
        <v>18</v>
      </c>
      <c r="E695" s="7">
        <v>45057</v>
      </c>
      <c r="F695" s="11">
        <f t="shared" si="59"/>
        <v>45057</v>
      </c>
      <c r="G695" s="6">
        <f t="shared" si="61"/>
        <v>2023</v>
      </c>
      <c r="H695" s="6">
        <f t="shared" si="62"/>
        <v>5</v>
      </c>
      <c r="I695" s="6">
        <f t="shared" si="58"/>
        <v>11</v>
      </c>
      <c r="J695" s="6" t="s">
        <v>10</v>
      </c>
      <c r="K695" s="6" t="s">
        <v>8</v>
      </c>
      <c r="L695" s="6" t="s">
        <v>28</v>
      </c>
      <c r="M695" s="6" t="s">
        <v>28</v>
      </c>
      <c r="O695" s="6" t="s">
        <v>24</v>
      </c>
      <c r="Q695" s="6" t="s">
        <v>50</v>
      </c>
      <c r="R695" t="str">
        <f t="shared" si="60"/>
        <v>11_18___05/11/2023_2023_MonMon_OWC_OW_OW__B__Nutri</v>
      </c>
    </row>
    <row r="696" spans="1:18" s="6" customFormat="1" x14ac:dyDescent="0.25">
      <c r="A696" s="6">
        <v>11</v>
      </c>
      <c r="B696" s="6">
        <v>19</v>
      </c>
      <c r="E696" s="7">
        <v>45057</v>
      </c>
      <c r="F696" s="11">
        <f t="shared" si="59"/>
        <v>45057</v>
      </c>
      <c r="G696" s="6">
        <f t="shared" si="61"/>
        <v>2023</v>
      </c>
      <c r="H696" s="6">
        <f t="shared" si="62"/>
        <v>5</v>
      </c>
      <c r="I696" s="6">
        <f t="shared" si="58"/>
        <v>11</v>
      </c>
      <c r="J696" s="6" t="s">
        <v>10</v>
      </c>
      <c r="K696" s="6" t="s">
        <v>8</v>
      </c>
      <c r="L696" s="6" t="s">
        <v>28</v>
      </c>
      <c r="M696" s="6" t="s">
        <v>28</v>
      </c>
      <c r="O696" s="6" t="s">
        <v>25</v>
      </c>
      <c r="Q696" s="6" t="s">
        <v>50</v>
      </c>
      <c r="R696" t="str">
        <f t="shared" si="60"/>
        <v>11_19___05/11/2023_2023_MonMon_OWC_OW_OW__C__Nutri</v>
      </c>
    </row>
    <row r="697" spans="1:18" x14ac:dyDescent="0.25">
      <c r="A697">
        <v>11</v>
      </c>
      <c r="B697">
        <v>20</v>
      </c>
      <c r="E697" s="1">
        <v>45057</v>
      </c>
      <c r="F697" s="11">
        <f t="shared" si="59"/>
        <v>45057</v>
      </c>
      <c r="G697">
        <f t="shared" si="61"/>
        <v>2023</v>
      </c>
      <c r="H697">
        <f t="shared" si="62"/>
        <v>5</v>
      </c>
      <c r="I697">
        <f t="shared" si="58"/>
        <v>11</v>
      </c>
      <c r="J697" t="s">
        <v>10</v>
      </c>
      <c r="K697" t="s">
        <v>8</v>
      </c>
      <c r="L697" t="s">
        <v>51</v>
      </c>
      <c r="M697" t="s">
        <v>32</v>
      </c>
      <c r="O697" t="s">
        <v>23</v>
      </c>
      <c r="Q697" t="s">
        <v>50</v>
      </c>
      <c r="R697" t="str">
        <f t="shared" si="60"/>
        <v>11_20___05/11/2023_2023_MonMon_OWC_WE_ST__A__Nutri</v>
      </c>
    </row>
    <row r="698" spans="1:18" x14ac:dyDescent="0.25">
      <c r="A698">
        <v>11</v>
      </c>
      <c r="B698">
        <v>21</v>
      </c>
      <c r="E698" s="1">
        <v>45057</v>
      </c>
      <c r="F698" s="11">
        <f t="shared" si="59"/>
        <v>45057</v>
      </c>
      <c r="G698">
        <f t="shared" si="61"/>
        <v>2023</v>
      </c>
      <c r="H698">
        <f t="shared" si="62"/>
        <v>5</v>
      </c>
      <c r="I698">
        <f t="shared" si="58"/>
        <v>11</v>
      </c>
      <c r="J698" t="s">
        <v>10</v>
      </c>
      <c r="K698" t="s">
        <v>8</v>
      </c>
      <c r="L698" t="s">
        <v>51</v>
      </c>
      <c r="M698" t="s">
        <v>32</v>
      </c>
      <c r="O698" t="s">
        <v>24</v>
      </c>
      <c r="Q698" t="s">
        <v>50</v>
      </c>
      <c r="R698" t="str">
        <f t="shared" si="60"/>
        <v>11_21___05/11/2023_2023_MonMon_OWC_WE_ST__B__Nutri</v>
      </c>
    </row>
    <row r="699" spans="1:18" x14ac:dyDescent="0.25">
      <c r="A699">
        <v>11</v>
      </c>
      <c r="B699">
        <v>22</v>
      </c>
      <c r="E699" s="1">
        <v>45057</v>
      </c>
      <c r="F699" s="11">
        <f t="shared" si="59"/>
        <v>45057</v>
      </c>
      <c r="G699">
        <f t="shared" si="61"/>
        <v>2023</v>
      </c>
      <c r="H699">
        <f t="shared" si="62"/>
        <v>5</v>
      </c>
      <c r="I699">
        <f t="shared" ref="I699:I762" si="63">DAY(E699)</f>
        <v>11</v>
      </c>
      <c r="J699" t="s">
        <v>10</v>
      </c>
      <c r="K699" t="s">
        <v>8</v>
      </c>
      <c r="L699" t="s">
        <v>51</v>
      </c>
      <c r="M699" t="s">
        <v>32</v>
      </c>
      <c r="O699" t="s">
        <v>25</v>
      </c>
      <c r="Q699" t="s">
        <v>50</v>
      </c>
      <c r="R699" t="str">
        <f t="shared" si="60"/>
        <v>11_22___05/11/2023_2023_MonMon_OWC_WE_ST__C__Nutri</v>
      </c>
    </row>
    <row r="700" spans="1:18" x14ac:dyDescent="0.25">
      <c r="A700">
        <v>11</v>
      </c>
      <c r="B700">
        <v>23</v>
      </c>
      <c r="E700" s="1">
        <v>45057</v>
      </c>
      <c r="F700" s="11">
        <f t="shared" si="59"/>
        <v>45057</v>
      </c>
      <c r="G700">
        <f t="shared" si="61"/>
        <v>2023</v>
      </c>
      <c r="H700">
        <f t="shared" si="62"/>
        <v>5</v>
      </c>
      <c r="I700">
        <f t="shared" si="63"/>
        <v>11</v>
      </c>
      <c r="J700" t="s">
        <v>10</v>
      </c>
      <c r="K700" t="s">
        <v>8</v>
      </c>
      <c r="L700" t="s">
        <v>14</v>
      </c>
      <c r="M700" t="s">
        <v>26</v>
      </c>
      <c r="N700" t="s">
        <v>38</v>
      </c>
      <c r="O700">
        <v>1</v>
      </c>
      <c r="Q700" t="s">
        <v>50</v>
      </c>
      <c r="R700" t="str">
        <f t="shared" si="60"/>
        <v>11_23___05/11/2023_2023_MonMon_OWC_TR_RZ_Rhz_1__Nutri</v>
      </c>
    </row>
    <row r="701" spans="1:18" x14ac:dyDescent="0.25">
      <c r="A701">
        <v>11</v>
      </c>
      <c r="B701">
        <v>24</v>
      </c>
      <c r="E701" s="1">
        <v>45057</v>
      </c>
      <c r="F701" s="11">
        <f t="shared" si="59"/>
        <v>45057</v>
      </c>
      <c r="G701">
        <f t="shared" si="61"/>
        <v>2023</v>
      </c>
      <c r="H701">
        <f t="shared" si="62"/>
        <v>5</v>
      </c>
      <c r="I701">
        <f t="shared" si="63"/>
        <v>11</v>
      </c>
      <c r="J701" t="s">
        <v>10</v>
      </c>
      <c r="K701" t="s">
        <v>8</v>
      </c>
      <c r="L701" t="s">
        <v>14</v>
      </c>
      <c r="M701" t="s">
        <v>26</v>
      </c>
      <c r="N701" t="s">
        <v>38</v>
      </c>
      <c r="O701">
        <v>2</v>
      </c>
      <c r="Q701" t="s">
        <v>50</v>
      </c>
      <c r="R701" t="str">
        <f t="shared" si="60"/>
        <v>11_24___05/11/2023_2023_MonMon_OWC_TR_RZ_Rhz_2__Nutri</v>
      </c>
    </row>
    <row r="702" spans="1:18" x14ac:dyDescent="0.25">
      <c r="A702">
        <v>11</v>
      </c>
      <c r="B702">
        <v>25</v>
      </c>
      <c r="E702" s="1">
        <v>45057</v>
      </c>
      <c r="F702" s="11">
        <f t="shared" si="59"/>
        <v>45057</v>
      </c>
      <c r="G702">
        <f t="shared" si="61"/>
        <v>2023</v>
      </c>
      <c r="H702">
        <f t="shared" si="62"/>
        <v>5</v>
      </c>
      <c r="I702">
        <f t="shared" si="63"/>
        <v>11</v>
      </c>
      <c r="J702" t="s">
        <v>10</v>
      </c>
      <c r="K702" t="s">
        <v>8</v>
      </c>
      <c r="L702" t="s">
        <v>14</v>
      </c>
      <c r="M702" t="s">
        <v>26</v>
      </c>
      <c r="N702" t="s">
        <v>38</v>
      </c>
      <c r="O702">
        <v>3</v>
      </c>
      <c r="Q702" t="s">
        <v>50</v>
      </c>
      <c r="R702" t="str">
        <f t="shared" si="60"/>
        <v>11_25___05/11/2023_2023_MonMon_OWC_TR_RZ_Rhz_3__Nutri</v>
      </c>
    </row>
    <row r="703" spans="1:18" x14ac:dyDescent="0.25">
      <c r="A703">
        <v>11</v>
      </c>
      <c r="B703">
        <v>26</v>
      </c>
      <c r="E703" s="1">
        <v>45057</v>
      </c>
      <c r="F703" s="11">
        <f t="shared" si="59"/>
        <v>45057</v>
      </c>
      <c r="G703">
        <f t="shared" si="61"/>
        <v>2023</v>
      </c>
      <c r="H703">
        <f t="shared" si="62"/>
        <v>5</v>
      </c>
      <c r="I703">
        <f t="shared" si="63"/>
        <v>11</v>
      </c>
      <c r="J703" t="s">
        <v>10</v>
      </c>
      <c r="K703" t="s">
        <v>8</v>
      </c>
      <c r="L703" t="s">
        <v>14</v>
      </c>
      <c r="M703" t="s">
        <v>26</v>
      </c>
      <c r="N703" t="s">
        <v>38</v>
      </c>
      <c r="O703">
        <v>4</v>
      </c>
      <c r="Q703" t="s">
        <v>50</v>
      </c>
      <c r="R703" t="str">
        <f t="shared" si="60"/>
        <v>11_26___05/11/2023_2023_MonMon_OWC_TR_RZ_Rhz_4__Nutri</v>
      </c>
    </row>
    <row r="704" spans="1:18" x14ac:dyDescent="0.25">
      <c r="A704">
        <v>11</v>
      </c>
      <c r="B704">
        <v>27</v>
      </c>
      <c r="E704" s="1">
        <v>45057</v>
      </c>
      <c r="F704" s="11">
        <f t="shared" si="59"/>
        <v>45057</v>
      </c>
      <c r="G704">
        <f t="shared" si="61"/>
        <v>2023</v>
      </c>
      <c r="H704">
        <f t="shared" si="62"/>
        <v>5</v>
      </c>
      <c r="I704">
        <f t="shared" si="63"/>
        <v>11</v>
      </c>
      <c r="J704" t="s">
        <v>10</v>
      </c>
      <c r="K704" t="s">
        <v>8</v>
      </c>
      <c r="L704" t="s">
        <v>14</v>
      </c>
      <c r="M704" t="s">
        <v>26</v>
      </c>
      <c r="N704" t="s">
        <v>38</v>
      </c>
      <c r="O704">
        <v>5</v>
      </c>
      <c r="Q704" t="s">
        <v>50</v>
      </c>
      <c r="R704" t="str">
        <f t="shared" si="60"/>
        <v>11_27___05/11/2023_2023_MonMon_OWC_TR_RZ_Rhz_5__Nutri</v>
      </c>
    </row>
    <row r="705" spans="1:18" x14ac:dyDescent="0.25">
      <c r="A705">
        <v>11</v>
      </c>
      <c r="B705">
        <v>28</v>
      </c>
      <c r="E705" s="1">
        <v>45057</v>
      </c>
      <c r="F705" s="11">
        <f t="shared" si="59"/>
        <v>45057</v>
      </c>
      <c r="G705">
        <f t="shared" si="61"/>
        <v>2023</v>
      </c>
      <c r="H705">
        <f t="shared" si="62"/>
        <v>5</v>
      </c>
      <c r="I705">
        <f t="shared" si="63"/>
        <v>11</v>
      </c>
      <c r="J705" t="s">
        <v>10</v>
      </c>
      <c r="K705" t="s">
        <v>8</v>
      </c>
      <c r="L705" t="s">
        <v>14</v>
      </c>
      <c r="M705" t="s">
        <v>26</v>
      </c>
      <c r="N705" t="s">
        <v>38</v>
      </c>
      <c r="O705">
        <v>6</v>
      </c>
      <c r="Q705" t="s">
        <v>50</v>
      </c>
      <c r="R705" t="str">
        <f t="shared" si="60"/>
        <v>11_28___05/11/2023_2023_MonMon_OWC_TR_RZ_Rhz_6__Nutri</v>
      </c>
    </row>
    <row r="706" spans="1:18" x14ac:dyDescent="0.25">
      <c r="A706">
        <v>11</v>
      </c>
      <c r="B706">
        <v>29</v>
      </c>
      <c r="E706" s="1">
        <v>45057</v>
      </c>
      <c r="F706" s="11">
        <f t="shared" si="59"/>
        <v>45057</v>
      </c>
      <c r="G706">
        <f t="shared" si="61"/>
        <v>2023</v>
      </c>
      <c r="H706">
        <f t="shared" si="62"/>
        <v>5</v>
      </c>
      <c r="I706">
        <f t="shared" si="63"/>
        <v>11</v>
      </c>
      <c r="J706" t="s">
        <v>10</v>
      </c>
      <c r="K706" t="s">
        <v>8</v>
      </c>
      <c r="L706" t="s">
        <v>14</v>
      </c>
      <c r="M706" t="s">
        <v>26</v>
      </c>
      <c r="N706" t="s">
        <v>38</v>
      </c>
      <c r="O706">
        <v>7</v>
      </c>
      <c r="Q706" t="s">
        <v>50</v>
      </c>
      <c r="R706" t="str">
        <f t="shared" si="60"/>
        <v>11_29___05/11/2023_2023_MonMon_OWC_TR_RZ_Rhz_7__Nutri</v>
      </c>
    </row>
    <row r="707" spans="1:18" x14ac:dyDescent="0.25">
      <c r="A707">
        <v>11</v>
      </c>
      <c r="B707">
        <v>30</v>
      </c>
      <c r="E707" s="1">
        <v>45057</v>
      </c>
      <c r="F707" s="11">
        <f t="shared" ref="F707:F770" si="64">E707</f>
        <v>45057</v>
      </c>
      <c r="G707">
        <f t="shared" si="61"/>
        <v>2023</v>
      </c>
      <c r="H707">
        <f t="shared" si="62"/>
        <v>5</v>
      </c>
      <c r="I707">
        <f t="shared" si="63"/>
        <v>11</v>
      </c>
      <c r="J707" t="s">
        <v>10</v>
      </c>
      <c r="K707" t="s">
        <v>8</v>
      </c>
      <c r="L707" t="s">
        <v>14</v>
      </c>
      <c r="M707" t="s">
        <v>26</v>
      </c>
      <c r="N707" t="s">
        <v>38</v>
      </c>
      <c r="O707">
        <v>8</v>
      </c>
      <c r="Q707" t="s">
        <v>50</v>
      </c>
      <c r="R707" t="str">
        <f t="shared" ref="R707:R770" si="65">CONCATENATE(A707,"_",B707,"_", C707,"_",D707,"_",TEXT(E707, "mm/dd/yyyy"),"_",G707,"_",J707,"_",K707,"_",L707,"_",M707,"_",N707,"_",O707,"_",P707,"_",Q707)</f>
        <v>11_30___05/11/2023_2023_MonMon_OWC_TR_RZ_Rhz_8__Nutri</v>
      </c>
    </row>
    <row r="708" spans="1:18" x14ac:dyDescent="0.25">
      <c r="A708">
        <v>11</v>
      </c>
      <c r="B708">
        <v>31</v>
      </c>
      <c r="E708" s="1">
        <v>45057</v>
      </c>
      <c r="F708" s="11">
        <f t="shared" si="64"/>
        <v>45057</v>
      </c>
      <c r="G708">
        <f t="shared" si="61"/>
        <v>2023</v>
      </c>
      <c r="H708">
        <f t="shared" si="62"/>
        <v>5</v>
      </c>
      <c r="I708">
        <f t="shared" si="63"/>
        <v>11</v>
      </c>
      <c r="J708" t="s">
        <v>10</v>
      </c>
      <c r="K708" t="s">
        <v>8</v>
      </c>
      <c r="L708" t="s">
        <v>17</v>
      </c>
      <c r="M708" t="s">
        <v>26</v>
      </c>
      <c r="N708" t="s">
        <v>38</v>
      </c>
      <c r="O708">
        <v>1</v>
      </c>
      <c r="Q708" t="s">
        <v>50</v>
      </c>
      <c r="R708" t="str">
        <f t="shared" si="65"/>
        <v>11_31___05/11/2023_2023_MonMon_OWC_UP_RZ_Rhz_1__Nutri</v>
      </c>
    </row>
    <row r="709" spans="1:18" x14ac:dyDescent="0.25">
      <c r="A709">
        <v>11</v>
      </c>
      <c r="B709">
        <v>32</v>
      </c>
      <c r="E709" s="1">
        <v>45057</v>
      </c>
      <c r="F709" s="11">
        <f t="shared" si="64"/>
        <v>45057</v>
      </c>
      <c r="G709">
        <f t="shared" ref="G709:G772" si="66">YEAR(E709)</f>
        <v>2023</v>
      </c>
      <c r="H709">
        <f t="shared" ref="H709:H772" si="67">MONTH(E709)</f>
        <v>5</v>
      </c>
      <c r="I709">
        <f t="shared" si="63"/>
        <v>11</v>
      </c>
      <c r="J709" t="s">
        <v>10</v>
      </c>
      <c r="K709" t="s">
        <v>8</v>
      </c>
      <c r="L709" t="s">
        <v>17</v>
      </c>
      <c r="M709" t="s">
        <v>26</v>
      </c>
      <c r="N709" t="s">
        <v>38</v>
      </c>
      <c r="O709">
        <v>2</v>
      </c>
      <c r="Q709" t="s">
        <v>50</v>
      </c>
      <c r="R709" t="str">
        <f t="shared" si="65"/>
        <v>11_32___05/11/2023_2023_MonMon_OWC_UP_RZ_Rhz_2__Nutri</v>
      </c>
    </row>
    <row r="710" spans="1:18" x14ac:dyDescent="0.25">
      <c r="A710">
        <v>11</v>
      </c>
      <c r="B710">
        <v>33</v>
      </c>
      <c r="E710" s="1">
        <v>45057</v>
      </c>
      <c r="F710" s="11">
        <f t="shared" si="64"/>
        <v>45057</v>
      </c>
      <c r="G710">
        <f t="shared" si="66"/>
        <v>2023</v>
      </c>
      <c r="H710">
        <f t="shared" si="67"/>
        <v>5</v>
      </c>
      <c r="I710">
        <f t="shared" si="63"/>
        <v>11</v>
      </c>
      <c r="J710" t="s">
        <v>10</v>
      </c>
      <c r="K710" t="s">
        <v>8</v>
      </c>
      <c r="L710" t="s">
        <v>17</v>
      </c>
      <c r="M710" t="s">
        <v>26</v>
      </c>
      <c r="N710" t="s">
        <v>38</v>
      </c>
      <c r="O710">
        <v>4</v>
      </c>
      <c r="Q710" t="s">
        <v>50</v>
      </c>
      <c r="R710" t="str">
        <f t="shared" si="65"/>
        <v>11_33___05/11/2023_2023_MonMon_OWC_UP_RZ_Rhz_4__Nutri</v>
      </c>
    </row>
    <row r="711" spans="1:18" x14ac:dyDescent="0.25">
      <c r="A711">
        <v>11</v>
      </c>
      <c r="B711">
        <v>34</v>
      </c>
      <c r="E711" s="1">
        <v>45057</v>
      </c>
      <c r="F711" s="11">
        <f t="shared" si="64"/>
        <v>45057</v>
      </c>
      <c r="G711">
        <f t="shared" si="66"/>
        <v>2023</v>
      </c>
      <c r="H711">
        <f t="shared" si="67"/>
        <v>5</v>
      </c>
      <c r="I711">
        <f t="shared" si="63"/>
        <v>11</v>
      </c>
      <c r="J711" t="s">
        <v>10</v>
      </c>
      <c r="K711" t="s">
        <v>8</v>
      </c>
      <c r="L711" t="s">
        <v>17</v>
      </c>
      <c r="M711" t="s">
        <v>26</v>
      </c>
      <c r="N711" t="s">
        <v>38</v>
      </c>
      <c r="O711">
        <v>5</v>
      </c>
      <c r="Q711" t="s">
        <v>50</v>
      </c>
      <c r="R711" t="str">
        <f t="shared" si="65"/>
        <v>11_34___05/11/2023_2023_MonMon_OWC_UP_RZ_Rhz_5__Nutri</v>
      </c>
    </row>
    <row r="712" spans="1:18" x14ac:dyDescent="0.25">
      <c r="A712">
        <v>11</v>
      </c>
      <c r="B712">
        <v>35</v>
      </c>
      <c r="E712" s="1">
        <v>45057</v>
      </c>
      <c r="F712" s="11">
        <f t="shared" si="64"/>
        <v>45057</v>
      </c>
      <c r="G712">
        <f t="shared" si="66"/>
        <v>2023</v>
      </c>
      <c r="H712">
        <f t="shared" si="67"/>
        <v>5</v>
      </c>
      <c r="I712">
        <f t="shared" si="63"/>
        <v>11</v>
      </c>
      <c r="J712" t="s">
        <v>10</v>
      </c>
      <c r="K712" t="s">
        <v>8</v>
      </c>
      <c r="L712" t="s">
        <v>17</v>
      </c>
      <c r="M712" t="s">
        <v>26</v>
      </c>
      <c r="N712" t="s">
        <v>38</v>
      </c>
      <c r="O712">
        <v>6</v>
      </c>
      <c r="Q712" t="s">
        <v>50</v>
      </c>
      <c r="R712" t="str">
        <f t="shared" si="65"/>
        <v>11_35___05/11/2023_2023_MonMon_OWC_UP_RZ_Rhz_6__Nutri</v>
      </c>
    </row>
    <row r="713" spans="1:18" x14ac:dyDescent="0.25">
      <c r="A713">
        <v>11</v>
      </c>
      <c r="B713">
        <v>36</v>
      </c>
      <c r="E713" s="1">
        <v>45057</v>
      </c>
      <c r="F713" s="11">
        <f t="shared" si="64"/>
        <v>45057</v>
      </c>
      <c r="G713">
        <f t="shared" si="66"/>
        <v>2023</v>
      </c>
      <c r="H713">
        <f t="shared" si="67"/>
        <v>5</v>
      </c>
      <c r="I713">
        <f t="shared" si="63"/>
        <v>11</v>
      </c>
      <c r="J713" t="s">
        <v>10</v>
      </c>
      <c r="K713" t="s">
        <v>8</v>
      </c>
      <c r="L713" t="s">
        <v>17</v>
      </c>
      <c r="M713" t="s">
        <v>26</v>
      </c>
      <c r="N713" t="s">
        <v>38</v>
      </c>
      <c r="O713">
        <v>7</v>
      </c>
      <c r="Q713" t="s">
        <v>50</v>
      </c>
      <c r="R713" t="str">
        <f t="shared" si="65"/>
        <v>11_36___05/11/2023_2023_MonMon_OWC_UP_RZ_Rhz_7__Nutri</v>
      </c>
    </row>
    <row r="714" spans="1:18" x14ac:dyDescent="0.25">
      <c r="A714">
        <v>11</v>
      </c>
      <c r="B714">
        <v>37</v>
      </c>
      <c r="E714" s="1">
        <v>45071</v>
      </c>
      <c r="F714" s="11">
        <f t="shared" si="64"/>
        <v>45071</v>
      </c>
      <c r="G714">
        <f t="shared" si="66"/>
        <v>2023</v>
      </c>
      <c r="H714">
        <f t="shared" si="67"/>
        <v>5</v>
      </c>
      <c r="I714">
        <f t="shared" si="63"/>
        <v>25</v>
      </c>
      <c r="J714" t="s">
        <v>10</v>
      </c>
      <c r="K714" t="s">
        <v>16</v>
      </c>
      <c r="L714" t="s">
        <v>51</v>
      </c>
      <c r="M714" t="s">
        <v>11</v>
      </c>
      <c r="N714" t="s">
        <v>27</v>
      </c>
      <c r="O714" t="s">
        <v>23</v>
      </c>
      <c r="P714">
        <v>10</v>
      </c>
      <c r="Q714" t="s">
        <v>50</v>
      </c>
      <c r="R714" t="str">
        <f t="shared" si="65"/>
        <v>11_37___05/25/2023_2023_MonMon_CRC_WE_PW_Sip_A_10_Nutri</v>
      </c>
    </row>
    <row r="715" spans="1:18" x14ac:dyDescent="0.25">
      <c r="A715">
        <v>11</v>
      </c>
      <c r="B715">
        <v>38</v>
      </c>
      <c r="E715" s="1">
        <v>45071</v>
      </c>
      <c r="F715" s="11">
        <f t="shared" si="64"/>
        <v>45071</v>
      </c>
      <c r="G715">
        <f t="shared" si="66"/>
        <v>2023</v>
      </c>
      <c r="H715">
        <f t="shared" si="67"/>
        <v>5</v>
      </c>
      <c r="I715">
        <f t="shared" si="63"/>
        <v>25</v>
      </c>
      <c r="J715" t="s">
        <v>10</v>
      </c>
      <c r="K715" t="s">
        <v>16</v>
      </c>
      <c r="L715" t="s">
        <v>51</v>
      </c>
      <c r="M715" t="s">
        <v>11</v>
      </c>
      <c r="N715" t="s">
        <v>27</v>
      </c>
      <c r="O715" t="s">
        <v>23</v>
      </c>
      <c r="P715">
        <v>20</v>
      </c>
      <c r="Q715" t="s">
        <v>50</v>
      </c>
      <c r="R715" t="str">
        <f t="shared" si="65"/>
        <v>11_38___05/25/2023_2023_MonMon_CRC_WE_PW_Sip_A_20_Nutri</v>
      </c>
    </row>
    <row r="716" spans="1:18" x14ac:dyDescent="0.25">
      <c r="A716">
        <v>11</v>
      </c>
      <c r="B716">
        <v>39</v>
      </c>
      <c r="E716" s="1">
        <v>45071</v>
      </c>
      <c r="F716" s="11">
        <f t="shared" si="64"/>
        <v>45071</v>
      </c>
      <c r="G716">
        <f t="shared" si="66"/>
        <v>2023</v>
      </c>
      <c r="H716">
        <f t="shared" si="67"/>
        <v>5</v>
      </c>
      <c r="I716">
        <f t="shared" si="63"/>
        <v>25</v>
      </c>
      <c r="J716" t="s">
        <v>10</v>
      </c>
      <c r="K716" t="s">
        <v>16</v>
      </c>
      <c r="L716" t="s">
        <v>51</v>
      </c>
      <c r="M716" t="s">
        <v>11</v>
      </c>
      <c r="N716" t="s">
        <v>27</v>
      </c>
      <c r="O716" t="s">
        <v>23</v>
      </c>
      <c r="P716">
        <v>45</v>
      </c>
      <c r="Q716" t="s">
        <v>50</v>
      </c>
      <c r="R716" t="str">
        <f t="shared" si="65"/>
        <v>11_39___05/25/2023_2023_MonMon_CRC_WE_PW_Sip_A_45_Nutri</v>
      </c>
    </row>
    <row r="717" spans="1:18" x14ac:dyDescent="0.25">
      <c r="A717">
        <v>11</v>
      </c>
      <c r="B717">
        <v>40</v>
      </c>
      <c r="E717" s="1">
        <v>45071</v>
      </c>
      <c r="F717" s="11">
        <f t="shared" si="64"/>
        <v>45071</v>
      </c>
      <c r="G717">
        <f t="shared" si="66"/>
        <v>2023</v>
      </c>
      <c r="H717">
        <f t="shared" si="67"/>
        <v>5</v>
      </c>
      <c r="I717">
        <f t="shared" si="63"/>
        <v>25</v>
      </c>
      <c r="J717" t="s">
        <v>10</v>
      </c>
      <c r="K717" t="s">
        <v>16</v>
      </c>
      <c r="L717" t="s">
        <v>51</v>
      </c>
      <c r="M717" t="s">
        <v>11</v>
      </c>
      <c r="N717" t="s">
        <v>27</v>
      </c>
      <c r="O717" t="s">
        <v>24</v>
      </c>
      <c r="P717">
        <v>10</v>
      </c>
      <c r="Q717" t="s">
        <v>50</v>
      </c>
      <c r="R717" t="str">
        <f t="shared" si="65"/>
        <v>11_40___05/25/2023_2023_MonMon_CRC_WE_PW_Sip_B_10_Nutri</v>
      </c>
    </row>
    <row r="718" spans="1:18" x14ac:dyDescent="0.25">
      <c r="A718">
        <v>11</v>
      </c>
      <c r="B718">
        <v>41</v>
      </c>
      <c r="E718" s="1">
        <v>45071</v>
      </c>
      <c r="F718" s="11">
        <f t="shared" si="64"/>
        <v>45071</v>
      </c>
      <c r="G718">
        <f t="shared" si="66"/>
        <v>2023</v>
      </c>
      <c r="H718">
        <f t="shared" si="67"/>
        <v>5</v>
      </c>
      <c r="I718">
        <f t="shared" si="63"/>
        <v>25</v>
      </c>
      <c r="J718" t="s">
        <v>10</v>
      </c>
      <c r="K718" t="s">
        <v>16</v>
      </c>
      <c r="L718" t="s">
        <v>51</v>
      </c>
      <c r="M718" t="s">
        <v>11</v>
      </c>
      <c r="N718" t="s">
        <v>27</v>
      </c>
      <c r="O718" t="s">
        <v>24</v>
      </c>
      <c r="P718">
        <v>20</v>
      </c>
      <c r="Q718" t="s">
        <v>50</v>
      </c>
      <c r="R718" t="str">
        <f t="shared" si="65"/>
        <v>11_41___05/25/2023_2023_MonMon_CRC_WE_PW_Sip_B_20_Nutri</v>
      </c>
    </row>
    <row r="719" spans="1:18" x14ac:dyDescent="0.25">
      <c r="A719">
        <v>11</v>
      </c>
      <c r="B719">
        <v>42</v>
      </c>
      <c r="E719" s="1">
        <v>45071</v>
      </c>
      <c r="F719" s="11">
        <f t="shared" si="64"/>
        <v>45071</v>
      </c>
      <c r="G719">
        <f t="shared" si="66"/>
        <v>2023</v>
      </c>
      <c r="H719">
        <f t="shared" si="67"/>
        <v>5</v>
      </c>
      <c r="I719">
        <f t="shared" si="63"/>
        <v>25</v>
      </c>
      <c r="J719" t="s">
        <v>10</v>
      </c>
      <c r="K719" t="s">
        <v>16</v>
      </c>
      <c r="L719" t="s">
        <v>51</v>
      </c>
      <c r="M719" t="s">
        <v>11</v>
      </c>
      <c r="N719" t="s">
        <v>27</v>
      </c>
      <c r="O719" t="s">
        <v>24</v>
      </c>
      <c r="P719">
        <v>45</v>
      </c>
      <c r="Q719" t="s">
        <v>50</v>
      </c>
      <c r="R719" t="str">
        <f t="shared" si="65"/>
        <v>11_42___05/25/2023_2023_MonMon_CRC_WE_PW_Sip_B_45_Nutri</v>
      </c>
    </row>
    <row r="720" spans="1:18" x14ac:dyDescent="0.25">
      <c r="A720">
        <v>11</v>
      </c>
      <c r="B720">
        <v>43</v>
      </c>
      <c r="E720" s="1">
        <v>45071</v>
      </c>
      <c r="F720" s="11">
        <f t="shared" si="64"/>
        <v>45071</v>
      </c>
      <c r="G720">
        <f t="shared" si="66"/>
        <v>2023</v>
      </c>
      <c r="H720">
        <f t="shared" si="67"/>
        <v>5</v>
      </c>
      <c r="I720">
        <f t="shared" si="63"/>
        <v>25</v>
      </c>
      <c r="J720" t="s">
        <v>10</v>
      </c>
      <c r="K720" t="s">
        <v>16</v>
      </c>
      <c r="L720" t="s">
        <v>51</v>
      </c>
      <c r="M720" t="s">
        <v>11</v>
      </c>
      <c r="N720" t="s">
        <v>27</v>
      </c>
      <c r="O720" t="s">
        <v>25</v>
      </c>
      <c r="P720">
        <v>10</v>
      </c>
      <c r="Q720" t="s">
        <v>50</v>
      </c>
      <c r="R720" t="str">
        <f t="shared" si="65"/>
        <v>11_43___05/25/2023_2023_MonMon_CRC_WE_PW_Sip_C_10_Nutri</v>
      </c>
    </row>
    <row r="721" spans="1:18" x14ac:dyDescent="0.25">
      <c r="A721">
        <v>11</v>
      </c>
      <c r="B721">
        <v>44</v>
      </c>
      <c r="E721" s="1">
        <v>45071</v>
      </c>
      <c r="F721" s="11">
        <f t="shared" si="64"/>
        <v>45071</v>
      </c>
      <c r="G721">
        <f t="shared" si="66"/>
        <v>2023</v>
      </c>
      <c r="H721">
        <f t="shared" si="67"/>
        <v>5</v>
      </c>
      <c r="I721">
        <f t="shared" si="63"/>
        <v>25</v>
      </c>
      <c r="J721" t="s">
        <v>10</v>
      </c>
      <c r="K721" t="s">
        <v>16</v>
      </c>
      <c r="L721" t="s">
        <v>51</v>
      </c>
      <c r="M721" t="s">
        <v>11</v>
      </c>
      <c r="N721" t="s">
        <v>27</v>
      </c>
      <c r="O721" t="s">
        <v>25</v>
      </c>
      <c r="P721">
        <v>20</v>
      </c>
      <c r="Q721" t="s">
        <v>50</v>
      </c>
      <c r="R721" t="str">
        <f t="shared" si="65"/>
        <v>11_44___05/25/2023_2023_MonMon_CRC_WE_PW_Sip_C_20_Nutri</v>
      </c>
    </row>
    <row r="722" spans="1:18" x14ac:dyDescent="0.25">
      <c r="A722">
        <v>11</v>
      </c>
      <c r="B722">
        <v>45</v>
      </c>
      <c r="E722" s="1">
        <v>45071</v>
      </c>
      <c r="F722" s="11">
        <f t="shared" si="64"/>
        <v>45071</v>
      </c>
      <c r="G722">
        <f t="shared" si="66"/>
        <v>2023</v>
      </c>
      <c r="H722">
        <f t="shared" si="67"/>
        <v>5</v>
      </c>
      <c r="I722">
        <f t="shared" si="63"/>
        <v>25</v>
      </c>
      <c r="J722" t="s">
        <v>10</v>
      </c>
      <c r="K722" t="s">
        <v>16</v>
      </c>
      <c r="L722" t="s">
        <v>51</v>
      </c>
      <c r="M722" t="s">
        <v>11</v>
      </c>
      <c r="N722" t="s">
        <v>27</v>
      </c>
      <c r="O722" t="s">
        <v>25</v>
      </c>
      <c r="P722">
        <v>45</v>
      </c>
      <c r="Q722" t="s">
        <v>50</v>
      </c>
      <c r="R722" t="str">
        <f t="shared" si="65"/>
        <v>11_45___05/25/2023_2023_MonMon_CRC_WE_PW_Sip_C_45_Nutri</v>
      </c>
    </row>
    <row r="723" spans="1:18" x14ac:dyDescent="0.25">
      <c r="A723">
        <v>11</v>
      </c>
      <c r="B723">
        <v>46</v>
      </c>
      <c r="E723" s="1">
        <v>45071</v>
      </c>
      <c r="F723" s="11">
        <f t="shared" si="64"/>
        <v>45071</v>
      </c>
      <c r="G723">
        <f t="shared" si="66"/>
        <v>2023</v>
      </c>
      <c r="H723">
        <f t="shared" si="67"/>
        <v>5</v>
      </c>
      <c r="I723">
        <f t="shared" si="63"/>
        <v>25</v>
      </c>
      <c r="J723" t="s">
        <v>10</v>
      </c>
      <c r="K723" t="s">
        <v>16</v>
      </c>
      <c r="L723" t="s">
        <v>14</v>
      </c>
      <c r="M723" t="s">
        <v>11</v>
      </c>
      <c r="N723" t="s">
        <v>15</v>
      </c>
      <c r="O723" t="s">
        <v>23</v>
      </c>
      <c r="P723">
        <v>10</v>
      </c>
      <c r="Q723" t="s">
        <v>50</v>
      </c>
      <c r="R723" t="str">
        <f t="shared" si="65"/>
        <v>11_46___05/25/2023_2023_MonMon_CRC_TR_PW_Lys_A_10_Nutri</v>
      </c>
    </row>
    <row r="724" spans="1:18" x14ac:dyDescent="0.25">
      <c r="A724">
        <v>11</v>
      </c>
      <c r="B724">
        <v>47</v>
      </c>
      <c r="E724" s="1">
        <v>45071</v>
      </c>
      <c r="F724" s="11">
        <f t="shared" si="64"/>
        <v>45071</v>
      </c>
      <c r="G724">
        <f t="shared" si="66"/>
        <v>2023</v>
      </c>
      <c r="H724">
        <f t="shared" si="67"/>
        <v>5</v>
      </c>
      <c r="I724">
        <f t="shared" si="63"/>
        <v>25</v>
      </c>
      <c r="J724" t="s">
        <v>10</v>
      </c>
      <c r="K724" t="s">
        <v>16</v>
      </c>
      <c r="L724" t="s">
        <v>14</v>
      </c>
      <c r="M724" t="s">
        <v>11</v>
      </c>
      <c r="N724" t="s">
        <v>15</v>
      </c>
      <c r="O724" t="s">
        <v>23</v>
      </c>
      <c r="P724">
        <v>20</v>
      </c>
      <c r="Q724" t="s">
        <v>50</v>
      </c>
      <c r="R724" t="str">
        <f t="shared" si="65"/>
        <v>11_47___05/25/2023_2023_MonMon_CRC_TR_PW_Lys_A_20_Nutri</v>
      </c>
    </row>
    <row r="725" spans="1:18" x14ac:dyDescent="0.25">
      <c r="A725">
        <v>11</v>
      </c>
      <c r="B725">
        <v>48</v>
      </c>
      <c r="E725" s="1">
        <v>45071</v>
      </c>
      <c r="F725" s="11">
        <f t="shared" si="64"/>
        <v>45071</v>
      </c>
      <c r="G725">
        <f t="shared" si="66"/>
        <v>2023</v>
      </c>
      <c r="H725">
        <f t="shared" si="67"/>
        <v>5</v>
      </c>
      <c r="I725">
        <f t="shared" si="63"/>
        <v>25</v>
      </c>
      <c r="J725" t="s">
        <v>10</v>
      </c>
      <c r="K725" t="s">
        <v>16</v>
      </c>
      <c r="L725" t="s">
        <v>14</v>
      </c>
      <c r="M725" t="s">
        <v>11</v>
      </c>
      <c r="N725" t="s">
        <v>15</v>
      </c>
      <c r="O725" t="s">
        <v>23</v>
      </c>
      <c r="P725">
        <v>45</v>
      </c>
      <c r="Q725" t="s">
        <v>50</v>
      </c>
      <c r="R725" t="str">
        <f t="shared" si="65"/>
        <v>11_48___05/25/2023_2023_MonMon_CRC_TR_PW_Lys_A_45_Nutri</v>
      </c>
    </row>
    <row r="726" spans="1:18" x14ac:dyDescent="0.25">
      <c r="A726">
        <v>11</v>
      </c>
      <c r="B726">
        <v>49</v>
      </c>
      <c r="E726" s="1">
        <v>45071</v>
      </c>
      <c r="F726" s="11">
        <f t="shared" si="64"/>
        <v>45071</v>
      </c>
      <c r="G726">
        <f t="shared" si="66"/>
        <v>2023</v>
      </c>
      <c r="H726">
        <f t="shared" si="67"/>
        <v>5</v>
      </c>
      <c r="I726">
        <f t="shared" si="63"/>
        <v>25</v>
      </c>
      <c r="J726" t="s">
        <v>10</v>
      </c>
      <c r="K726" t="s">
        <v>16</v>
      </c>
      <c r="L726" t="s">
        <v>14</v>
      </c>
      <c r="M726" t="s">
        <v>11</v>
      </c>
      <c r="N726" t="s">
        <v>15</v>
      </c>
      <c r="O726" t="s">
        <v>24</v>
      </c>
      <c r="P726">
        <v>10</v>
      </c>
      <c r="Q726" t="s">
        <v>50</v>
      </c>
      <c r="R726" t="str">
        <f t="shared" si="65"/>
        <v>11_49___05/25/2023_2023_MonMon_CRC_TR_PW_Lys_B_10_Nutri</v>
      </c>
    </row>
    <row r="727" spans="1:18" x14ac:dyDescent="0.25">
      <c r="A727">
        <v>11</v>
      </c>
      <c r="B727">
        <v>50</v>
      </c>
      <c r="E727" s="1">
        <v>45071</v>
      </c>
      <c r="F727" s="11">
        <f t="shared" si="64"/>
        <v>45071</v>
      </c>
      <c r="G727">
        <f t="shared" si="66"/>
        <v>2023</v>
      </c>
      <c r="H727">
        <f t="shared" si="67"/>
        <v>5</v>
      </c>
      <c r="I727">
        <f t="shared" si="63"/>
        <v>25</v>
      </c>
      <c r="J727" t="s">
        <v>10</v>
      </c>
      <c r="K727" t="s">
        <v>16</v>
      </c>
      <c r="L727" t="s">
        <v>14</v>
      </c>
      <c r="M727" t="s">
        <v>11</v>
      </c>
      <c r="N727" t="s">
        <v>15</v>
      </c>
      <c r="O727" t="s">
        <v>24</v>
      </c>
      <c r="P727">
        <v>20</v>
      </c>
      <c r="Q727" t="s">
        <v>50</v>
      </c>
      <c r="R727" t="str">
        <f t="shared" si="65"/>
        <v>11_50___05/25/2023_2023_MonMon_CRC_TR_PW_Lys_B_20_Nutri</v>
      </c>
    </row>
    <row r="728" spans="1:18" x14ac:dyDescent="0.25">
      <c r="A728">
        <v>11</v>
      </c>
      <c r="B728">
        <v>51</v>
      </c>
      <c r="E728" s="1">
        <v>45071</v>
      </c>
      <c r="F728" s="11">
        <f t="shared" si="64"/>
        <v>45071</v>
      </c>
      <c r="G728">
        <f t="shared" si="66"/>
        <v>2023</v>
      </c>
      <c r="H728">
        <f t="shared" si="67"/>
        <v>5</v>
      </c>
      <c r="I728">
        <f t="shared" si="63"/>
        <v>25</v>
      </c>
      <c r="J728" t="s">
        <v>10</v>
      </c>
      <c r="K728" t="s">
        <v>16</v>
      </c>
      <c r="L728" t="s">
        <v>14</v>
      </c>
      <c r="M728" t="s">
        <v>11</v>
      </c>
      <c r="N728" t="s">
        <v>15</v>
      </c>
      <c r="O728" t="s">
        <v>24</v>
      </c>
      <c r="P728">
        <v>45</v>
      </c>
      <c r="Q728" t="s">
        <v>50</v>
      </c>
      <c r="R728" t="str">
        <f t="shared" si="65"/>
        <v>11_51___05/25/2023_2023_MonMon_CRC_TR_PW_Lys_B_45_Nutri</v>
      </c>
    </row>
    <row r="729" spans="1:18" x14ac:dyDescent="0.25">
      <c r="A729">
        <v>11</v>
      </c>
      <c r="B729">
        <v>52</v>
      </c>
      <c r="E729" s="1">
        <v>45071</v>
      </c>
      <c r="F729" s="11">
        <f t="shared" si="64"/>
        <v>45071</v>
      </c>
      <c r="G729">
        <f t="shared" si="66"/>
        <v>2023</v>
      </c>
      <c r="H729">
        <f t="shared" si="67"/>
        <v>5</v>
      </c>
      <c r="I729">
        <f t="shared" si="63"/>
        <v>25</v>
      </c>
      <c r="J729" t="s">
        <v>10</v>
      </c>
      <c r="K729" t="s">
        <v>16</v>
      </c>
      <c r="L729" t="s">
        <v>14</v>
      </c>
      <c r="M729" t="s">
        <v>11</v>
      </c>
      <c r="N729" t="s">
        <v>15</v>
      </c>
      <c r="O729" t="s">
        <v>25</v>
      </c>
      <c r="P729">
        <v>10</v>
      </c>
      <c r="Q729" t="s">
        <v>50</v>
      </c>
      <c r="R729" t="str">
        <f t="shared" si="65"/>
        <v>11_52___05/25/2023_2023_MonMon_CRC_TR_PW_Lys_C_10_Nutri</v>
      </c>
    </row>
    <row r="730" spans="1:18" x14ac:dyDescent="0.25">
      <c r="A730">
        <v>11</v>
      </c>
      <c r="B730">
        <v>53</v>
      </c>
      <c r="E730" s="1">
        <v>45071</v>
      </c>
      <c r="F730" s="11">
        <f t="shared" si="64"/>
        <v>45071</v>
      </c>
      <c r="G730">
        <f t="shared" si="66"/>
        <v>2023</v>
      </c>
      <c r="H730">
        <f t="shared" si="67"/>
        <v>5</v>
      </c>
      <c r="I730">
        <f t="shared" si="63"/>
        <v>25</v>
      </c>
      <c r="J730" t="s">
        <v>10</v>
      </c>
      <c r="K730" t="s">
        <v>16</v>
      </c>
      <c r="L730" t="s">
        <v>14</v>
      </c>
      <c r="M730" t="s">
        <v>11</v>
      </c>
      <c r="N730" t="s">
        <v>15</v>
      </c>
      <c r="O730" t="s">
        <v>25</v>
      </c>
      <c r="P730">
        <v>20</v>
      </c>
      <c r="Q730" t="s">
        <v>50</v>
      </c>
      <c r="R730" t="str">
        <f t="shared" si="65"/>
        <v>11_53___05/25/2023_2023_MonMon_CRC_TR_PW_Lys_C_20_Nutri</v>
      </c>
    </row>
    <row r="731" spans="1:18" x14ac:dyDescent="0.25">
      <c r="A731">
        <v>11</v>
      </c>
      <c r="B731">
        <v>54</v>
      </c>
      <c r="E731" s="1">
        <v>45071</v>
      </c>
      <c r="F731" s="11">
        <f t="shared" si="64"/>
        <v>45071</v>
      </c>
      <c r="G731">
        <f t="shared" si="66"/>
        <v>2023</v>
      </c>
      <c r="H731">
        <f t="shared" si="67"/>
        <v>5</v>
      </c>
      <c r="I731">
        <f t="shared" si="63"/>
        <v>25</v>
      </c>
      <c r="J731" t="s">
        <v>10</v>
      </c>
      <c r="K731" t="s">
        <v>16</v>
      </c>
      <c r="L731" t="s">
        <v>14</v>
      </c>
      <c r="M731" t="s">
        <v>11</v>
      </c>
      <c r="N731" t="s">
        <v>15</v>
      </c>
      <c r="O731" t="s">
        <v>25</v>
      </c>
      <c r="P731">
        <v>45</v>
      </c>
      <c r="Q731" t="s">
        <v>50</v>
      </c>
      <c r="R731" t="str">
        <f t="shared" si="65"/>
        <v>11_54___05/25/2023_2023_MonMon_CRC_TR_PW_Lys_C_45_Nutri</v>
      </c>
    </row>
    <row r="732" spans="1:18" s="6" customFormat="1" x14ac:dyDescent="0.25">
      <c r="A732" s="6">
        <v>11</v>
      </c>
      <c r="B732" s="6">
        <v>55</v>
      </c>
      <c r="E732" s="7">
        <v>45071</v>
      </c>
      <c r="F732" s="11">
        <f t="shared" si="64"/>
        <v>45071</v>
      </c>
      <c r="G732" s="6">
        <f t="shared" si="66"/>
        <v>2023</v>
      </c>
      <c r="H732" s="6">
        <f t="shared" si="67"/>
        <v>5</v>
      </c>
      <c r="I732" s="6">
        <f t="shared" si="63"/>
        <v>25</v>
      </c>
      <c r="J732" s="6" t="s">
        <v>10</v>
      </c>
      <c r="K732" s="6" t="s">
        <v>16</v>
      </c>
      <c r="L732" s="6" t="s">
        <v>28</v>
      </c>
      <c r="M732" s="6" t="s">
        <v>28</v>
      </c>
      <c r="O732" s="6" t="s">
        <v>23</v>
      </c>
      <c r="Q732" s="6" t="s">
        <v>50</v>
      </c>
      <c r="R732" t="str">
        <f t="shared" si="65"/>
        <v>11_55___05/25/2023_2023_MonMon_CRC_OW_OW__A__Nutri</v>
      </c>
    </row>
    <row r="733" spans="1:18" s="6" customFormat="1" x14ac:dyDescent="0.25">
      <c r="A733" s="6">
        <v>11</v>
      </c>
      <c r="B733" s="6">
        <v>56</v>
      </c>
      <c r="E733" s="7">
        <v>45071</v>
      </c>
      <c r="F733" s="11">
        <f t="shared" si="64"/>
        <v>45071</v>
      </c>
      <c r="G733" s="6">
        <f t="shared" si="66"/>
        <v>2023</v>
      </c>
      <c r="H733" s="6">
        <f t="shared" si="67"/>
        <v>5</v>
      </c>
      <c r="I733" s="6">
        <f t="shared" si="63"/>
        <v>25</v>
      </c>
      <c r="J733" s="6" t="s">
        <v>10</v>
      </c>
      <c r="K733" s="6" t="s">
        <v>16</v>
      </c>
      <c r="L733" s="6" t="s">
        <v>28</v>
      </c>
      <c r="M733" s="6" t="s">
        <v>28</v>
      </c>
      <c r="O733" s="6" t="s">
        <v>24</v>
      </c>
      <c r="Q733" s="6" t="s">
        <v>50</v>
      </c>
      <c r="R733" t="str">
        <f t="shared" si="65"/>
        <v>11_56___05/25/2023_2023_MonMon_CRC_OW_OW__B__Nutri</v>
      </c>
    </row>
    <row r="734" spans="1:18" s="6" customFormat="1" x14ac:dyDescent="0.25">
      <c r="A734" s="6">
        <v>11</v>
      </c>
      <c r="B734" s="6">
        <v>57</v>
      </c>
      <c r="E734" s="7">
        <v>45071</v>
      </c>
      <c r="F734" s="11">
        <f t="shared" si="64"/>
        <v>45071</v>
      </c>
      <c r="G734" s="6">
        <f t="shared" si="66"/>
        <v>2023</v>
      </c>
      <c r="H734" s="6">
        <f t="shared" si="67"/>
        <v>5</v>
      </c>
      <c r="I734" s="6">
        <f t="shared" si="63"/>
        <v>25</v>
      </c>
      <c r="J734" s="6" t="s">
        <v>10</v>
      </c>
      <c r="K734" s="6" t="s">
        <v>16</v>
      </c>
      <c r="L734" s="6" t="s">
        <v>28</v>
      </c>
      <c r="M734" s="6" t="s">
        <v>28</v>
      </c>
      <c r="O734" s="6" t="s">
        <v>25</v>
      </c>
      <c r="Q734" s="6" t="s">
        <v>50</v>
      </c>
      <c r="R734" t="str">
        <f t="shared" si="65"/>
        <v>11_57___05/25/2023_2023_MonMon_CRC_OW_OW__C__Nutri</v>
      </c>
    </row>
    <row r="735" spans="1:18" x14ac:dyDescent="0.25">
      <c r="A735">
        <v>11</v>
      </c>
      <c r="B735">
        <v>58</v>
      </c>
      <c r="E735" s="1">
        <v>45071</v>
      </c>
      <c r="F735" s="11">
        <f t="shared" si="64"/>
        <v>45071</v>
      </c>
      <c r="G735">
        <f t="shared" si="66"/>
        <v>2023</v>
      </c>
      <c r="H735">
        <f t="shared" si="67"/>
        <v>5</v>
      </c>
      <c r="I735">
        <f t="shared" si="63"/>
        <v>25</v>
      </c>
      <c r="J735" t="s">
        <v>10</v>
      </c>
      <c r="K735" t="s">
        <v>16</v>
      </c>
      <c r="L735" t="s">
        <v>51</v>
      </c>
      <c r="M735" t="s">
        <v>33</v>
      </c>
      <c r="O735" t="s">
        <v>23</v>
      </c>
      <c r="Q735" t="s">
        <v>50</v>
      </c>
      <c r="R735" t="str">
        <f t="shared" si="65"/>
        <v>11_58___05/25/2023_2023_MonMon_CRC_WE_GW__A__Nutri</v>
      </c>
    </row>
    <row r="736" spans="1:18" x14ac:dyDescent="0.25">
      <c r="A736">
        <v>11</v>
      </c>
      <c r="B736">
        <v>59</v>
      </c>
      <c r="E736" s="1">
        <v>45071</v>
      </c>
      <c r="F736" s="11">
        <f t="shared" si="64"/>
        <v>45071</v>
      </c>
      <c r="G736">
        <f t="shared" si="66"/>
        <v>2023</v>
      </c>
      <c r="H736">
        <f t="shared" si="67"/>
        <v>5</v>
      </c>
      <c r="I736">
        <f t="shared" si="63"/>
        <v>25</v>
      </c>
      <c r="J736" t="s">
        <v>10</v>
      </c>
      <c r="K736" t="s">
        <v>16</v>
      </c>
      <c r="L736" t="s">
        <v>51</v>
      </c>
      <c r="M736" t="s">
        <v>33</v>
      </c>
      <c r="O736" t="s">
        <v>24</v>
      </c>
      <c r="Q736" t="s">
        <v>50</v>
      </c>
      <c r="R736" t="str">
        <f t="shared" si="65"/>
        <v>11_59___05/25/2023_2023_MonMon_CRC_WE_GW__B__Nutri</v>
      </c>
    </row>
    <row r="737" spans="1:18" x14ac:dyDescent="0.25">
      <c r="A737">
        <v>11</v>
      </c>
      <c r="B737">
        <v>60</v>
      </c>
      <c r="E737" s="1">
        <v>45071</v>
      </c>
      <c r="F737" s="11">
        <f t="shared" si="64"/>
        <v>45071</v>
      </c>
      <c r="G737">
        <f t="shared" si="66"/>
        <v>2023</v>
      </c>
      <c r="H737">
        <f t="shared" si="67"/>
        <v>5</v>
      </c>
      <c r="I737">
        <f t="shared" si="63"/>
        <v>25</v>
      </c>
      <c r="J737" t="s">
        <v>10</v>
      </c>
      <c r="K737" t="s">
        <v>16</v>
      </c>
      <c r="L737" t="s">
        <v>51</v>
      </c>
      <c r="M737" t="s">
        <v>33</v>
      </c>
      <c r="O737" t="s">
        <v>25</v>
      </c>
      <c r="Q737" t="s">
        <v>50</v>
      </c>
      <c r="R737" t="str">
        <f t="shared" si="65"/>
        <v>11_60___05/25/2023_2023_MonMon_CRC_WE_GW__C__Nutri</v>
      </c>
    </row>
    <row r="738" spans="1:18" x14ac:dyDescent="0.25">
      <c r="A738">
        <v>11</v>
      </c>
      <c r="B738">
        <v>61</v>
      </c>
      <c r="E738" s="1">
        <v>45071</v>
      </c>
      <c r="F738" s="11">
        <f t="shared" si="64"/>
        <v>45071</v>
      </c>
      <c r="G738">
        <f t="shared" si="66"/>
        <v>2023</v>
      </c>
      <c r="H738">
        <f t="shared" si="67"/>
        <v>5</v>
      </c>
      <c r="I738">
        <f t="shared" si="63"/>
        <v>25</v>
      </c>
      <c r="J738" t="s">
        <v>10</v>
      </c>
      <c r="K738" t="s">
        <v>16</v>
      </c>
      <c r="L738" t="s">
        <v>14</v>
      </c>
      <c r="M738" t="s">
        <v>33</v>
      </c>
      <c r="O738" t="s">
        <v>23</v>
      </c>
      <c r="Q738" t="s">
        <v>50</v>
      </c>
      <c r="R738" t="str">
        <f t="shared" si="65"/>
        <v>11_61___05/25/2023_2023_MonMon_CRC_TR_GW__A__Nutri</v>
      </c>
    </row>
    <row r="739" spans="1:18" x14ac:dyDescent="0.25">
      <c r="A739">
        <v>11</v>
      </c>
      <c r="B739">
        <v>62</v>
      </c>
      <c r="E739" s="1">
        <v>45071</v>
      </c>
      <c r="F739" s="11">
        <f t="shared" si="64"/>
        <v>45071</v>
      </c>
      <c r="G739">
        <f t="shared" si="66"/>
        <v>2023</v>
      </c>
      <c r="H739">
        <f t="shared" si="67"/>
        <v>5</v>
      </c>
      <c r="I739">
        <f t="shared" si="63"/>
        <v>25</v>
      </c>
      <c r="J739" t="s">
        <v>10</v>
      </c>
      <c r="K739" t="s">
        <v>16</v>
      </c>
      <c r="L739" t="s">
        <v>17</v>
      </c>
      <c r="M739" t="s">
        <v>33</v>
      </c>
      <c r="O739" t="s">
        <v>23</v>
      </c>
      <c r="Q739" t="s">
        <v>50</v>
      </c>
      <c r="R739" t="str">
        <f t="shared" si="65"/>
        <v>11_62___05/25/2023_2023_MonMon_CRC_UP_GW__A__Nutri</v>
      </c>
    </row>
    <row r="740" spans="1:18" x14ac:dyDescent="0.25">
      <c r="A740">
        <v>11</v>
      </c>
      <c r="B740">
        <v>63</v>
      </c>
      <c r="E740" s="1">
        <v>45071</v>
      </c>
      <c r="F740" s="11">
        <f t="shared" si="64"/>
        <v>45071</v>
      </c>
      <c r="G740">
        <f t="shared" si="66"/>
        <v>2023</v>
      </c>
      <c r="H740">
        <f t="shared" si="67"/>
        <v>5</v>
      </c>
      <c r="I740">
        <f t="shared" si="63"/>
        <v>25</v>
      </c>
      <c r="J740" t="s">
        <v>10</v>
      </c>
      <c r="K740" t="s">
        <v>16</v>
      </c>
      <c r="L740" t="s">
        <v>17</v>
      </c>
      <c r="M740" t="s">
        <v>33</v>
      </c>
      <c r="O740" t="s">
        <v>24</v>
      </c>
      <c r="Q740" t="s">
        <v>50</v>
      </c>
      <c r="R740" t="str">
        <f t="shared" si="65"/>
        <v>11_63___05/25/2023_2023_MonMon_CRC_UP_GW__B__Nutri</v>
      </c>
    </row>
    <row r="741" spans="1:18" x14ac:dyDescent="0.25">
      <c r="A741">
        <v>11</v>
      </c>
      <c r="B741">
        <v>64</v>
      </c>
      <c r="E741" s="1">
        <v>45071</v>
      </c>
      <c r="F741" s="11">
        <f t="shared" si="64"/>
        <v>45071</v>
      </c>
      <c r="G741">
        <f t="shared" si="66"/>
        <v>2023</v>
      </c>
      <c r="H741">
        <f t="shared" si="67"/>
        <v>5</v>
      </c>
      <c r="I741">
        <f t="shared" si="63"/>
        <v>25</v>
      </c>
      <c r="J741" t="s">
        <v>10</v>
      </c>
      <c r="K741" t="s">
        <v>16</v>
      </c>
      <c r="L741" t="s">
        <v>17</v>
      </c>
      <c r="M741" t="s">
        <v>33</v>
      </c>
      <c r="O741" t="s">
        <v>25</v>
      </c>
      <c r="Q741" t="s">
        <v>50</v>
      </c>
      <c r="R741" t="str">
        <f t="shared" si="65"/>
        <v>11_64___05/25/2023_2023_MonMon_CRC_UP_GW__C__Nutri</v>
      </c>
    </row>
    <row r="742" spans="1:18" x14ac:dyDescent="0.25">
      <c r="A742">
        <v>11</v>
      </c>
      <c r="B742">
        <v>65</v>
      </c>
      <c r="E742" s="1">
        <v>45071</v>
      </c>
      <c r="F742" s="11">
        <f t="shared" si="64"/>
        <v>45071</v>
      </c>
      <c r="G742">
        <f t="shared" si="66"/>
        <v>2023</v>
      </c>
      <c r="H742">
        <f t="shared" si="67"/>
        <v>5</v>
      </c>
      <c r="I742">
        <f t="shared" si="63"/>
        <v>25</v>
      </c>
      <c r="J742" t="s">
        <v>10</v>
      </c>
      <c r="K742" t="s">
        <v>16</v>
      </c>
      <c r="L742" t="s">
        <v>14</v>
      </c>
      <c r="M742" t="s">
        <v>26</v>
      </c>
      <c r="N742" t="s">
        <v>38</v>
      </c>
      <c r="O742">
        <v>1</v>
      </c>
      <c r="Q742" t="s">
        <v>50</v>
      </c>
      <c r="R742" t="str">
        <f t="shared" si="65"/>
        <v>11_65___05/25/2023_2023_MonMon_CRC_TR_RZ_Rhz_1__Nutri</v>
      </c>
    </row>
    <row r="743" spans="1:18" x14ac:dyDescent="0.25">
      <c r="A743">
        <v>11</v>
      </c>
      <c r="B743">
        <v>66</v>
      </c>
      <c r="E743" s="1">
        <v>45071</v>
      </c>
      <c r="F743" s="11">
        <f t="shared" si="64"/>
        <v>45071</v>
      </c>
      <c r="G743">
        <f t="shared" si="66"/>
        <v>2023</v>
      </c>
      <c r="H743">
        <f t="shared" si="67"/>
        <v>5</v>
      </c>
      <c r="I743">
        <f t="shared" si="63"/>
        <v>25</v>
      </c>
      <c r="J743" t="s">
        <v>10</v>
      </c>
      <c r="K743" t="s">
        <v>16</v>
      </c>
      <c r="L743" t="s">
        <v>14</v>
      </c>
      <c r="M743" t="s">
        <v>26</v>
      </c>
      <c r="N743" t="s">
        <v>38</v>
      </c>
      <c r="O743">
        <v>2</v>
      </c>
      <c r="Q743" t="s">
        <v>50</v>
      </c>
      <c r="R743" t="str">
        <f t="shared" si="65"/>
        <v>11_66___05/25/2023_2023_MonMon_CRC_TR_RZ_Rhz_2__Nutri</v>
      </c>
    </row>
    <row r="744" spans="1:18" x14ac:dyDescent="0.25">
      <c r="A744">
        <v>11</v>
      </c>
      <c r="B744">
        <v>67</v>
      </c>
      <c r="E744" s="1">
        <v>45071</v>
      </c>
      <c r="F744" s="11">
        <f t="shared" si="64"/>
        <v>45071</v>
      </c>
      <c r="G744">
        <f t="shared" si="66"/>
        <v>2023</v>
      </c>
      <c r="H744">
        <f t="shared" si="67"/>
        <v>5</v>
      </c>
      <c r="I744">
        <f t="shared" si="63"/>
        <v>25</v>
      </c>
      <c r="J744" t="s">
        <v>10</v>
      </c>
      <c r="K744" t="s">
        <v>16</v>
      </c>
      <c r="L744" t="s">
        <v>14</v>
      </c>
      <c r="M744" t="s">
        <v>26</v>
      </c>
      <c r="N744" t="s">
        <v>38</v>
      </c>
      <c r="O744">
        <v>3</v>
      </c>
      <c r="Q744" t="s">
        <v>50</v>
      </c>
      <c r="R744" t="str">
        <f t="shared" si="65"/>
        <v>11_67___05/25/2023_2023_MonMon_CRC_TR_RZ_Rhz_3__Nutri</v>
      </c>
    </row>
    <row r="745" spans="1:18" x14ac:dyDescent="0.25">
      <c r="A745">
        <v>11</v>
      </c>
      <c r="B745">
        <v>68</v>
      </c>
      <c r="E745" s="1">
        <v>45071</v>
      </c>
      <c r="F745" s="11">
        <f t="shared" si="64"/>
        <v>45071</v>
      </c>
      <c r="G745">
        <f t="shared" si="66"/>
        <v>2023</v>
      </c>
      <c r="H745">
        <f t="shared" si="67"/>
        <v>5</v>
      </c>
      <c r="I745">
        <f t="shared" si="63"/>
        <v>25</v>
      </c>
      <c r="J745" t="s">
        <v>10</v>
      </c>
      <c r="K745" t="s">
        <v>16</v>
      </c>
      <c r="L745" t="s">
        <v>14</v>
      </c>
      <c r="M745" t="s">
        <v>26</v>
      </c>
      <c r="N745" t="s">
        <v>38</v>
      </c>
      <c r="O745">
        <v>4</v>
      </c>
      <c r="Q745" t="s">
        <v>50</v>
      </c>
      <c r="R745" t="str">
        <f t="shared" si="65"/>
        <v>11_68___05/25/2023_2023_MonMon_CRC_TR_RZ_Rhz_4__Nutri</v>
      </c>
    </row>
    <row r="746" spans="1:18" x14ac:dyDescent="0.25">
      <c r="A746">
        <v>11</v>
      </c>
      <c r="B746">
        <v>69</v>
      </c>
      <c r="E746" s="1">
        <v>45071</v>
      </c>
      <c r="F746" s="11">
        <f t="shared" si="64"/>
        <v>45071</v>
      </c>
      <c r="G746">
        <f t="shared" si="66"/>
        <v>2023</v>
      </c>
      <c r="H746">
        <f t="shared" si="67"/>
        <v>5</v>
      </c>
      <c r="I746">
        <f t="shared" si="63"/>
        <v>25</v>
      </c>
      <c r="J746" t="s">
        <v>10</v>
      </c>
      <c r="K746" t="s">
        <v>16</v>
      </c>
      <c r="L746" t="s">
        <v>14</v>
      </c>
      <c r="M746" t="s">
        <v>26</v>
      </c>
      <c r="N746" t="s">
        <v>38</v>
      </c>
      <c r="O746">
        <v>5</v>
      </c>
      <c r="Q746" t="s">
        <v>50</v>
      </c>
      <c r="R746" t="str">
        <f t="shared" si="65"/>
        <v>11_69___05/25/2023_2023_MonMon_CRC_TR_RZ_Rhz_5__Nutri</v>
      </c>
    </row>
    <row r="747" spans="1:18" x14ac:dyDescent="0.25">
      <c r="A747">
        <v>11</v>
      </c>
      <c r="B747">
        <v>70</v>
      </c>
      <c r="E747" s="1">
        <v>45071</v>
      </c>
      <c r="F747" s="11">
        <f t="shared" si="64"/>
        <v>45071</v>
      </c>
      <c r="G747">
        <f t="shared" si="66"/>
        <v>2023</v>
      </c>
      <c r="H747">
        <f t="shared" si="67"/>
        <v>5</v>
      </c>
      <c r="I747">
        <f t="shared" si="63"/>
        <v>25</v>
      </c>
      <c r="J747" t="s">
        <v>10</v>
      </c>
      <c r="K747" t="s">
        <v>16</v>
      </c>
      <c r="L747" t="s">
        <v>14</v>
      </c>
      <c r="M747" t="s">
        <v>26</v>
      </c>
      <c r="N747" t="s">
        <v>38</v>
      </c>
      <c r="O747">
        <v>6</v>
      </c>
      <c r="Q747" t="s">
        <v>50</v>
      </c>
      <c r="R747" t="str">
        <f t="shared" si="65"/>
        <v>11_70___05/25/2023_2023_MonMon_CRC_TR_RZ_Rhz_6__Nutri</v>
      </c>
    </row>
    <row r="748" spans="1:18" x14ac:dyDescent="0.25">
      <c r="A748">
        <v>11</v>
      </c>
      <c r="B748">
        <v>71</v>
      </c>
      <c r="E748" s="1">
        <v>45071</v>
      </c>
      <c r="F748" s="11">
        <f t="shared" si="64"/>
        <v>45071</v>
      </c>
      <c r="G748">
        <f t="shared" si="66"/>
        <v>2023</v>
      </c>
      <c r="H748">
        <f t="shared" si="67"/>
        <v>5</v>
      </c>
      <c r="I748">
        <f t="shared" si="63"/>
        <v>25</v>
      </c>
      <c r="J748" t="s">
        <v>10</v>
      </c>
      <c r="K748" t="s">
        <v>16</v>
      </c>
      <c r="L748" t="s">
        <v>14</v>
      </c>
      <c r="M748" t="s">
        <v>26</v>
      </c>
      <c r="N748" t="s">
        <v>38</v>
      </c>
      <c r="O748">
        <v>7</v>
      </c>
      <c r="Q748" t="s">
        <v>50</v>
      </c>
      <c r="R748" t="str">
        <f t="shared" si="65"/>
        <v>11_71___05/25/2023_2023_MonMon_CRC_TR_RZ_Rhz_7__Nutri</v>
      </c>
    </row>
    <row r="749" spans="1:18" x14ac:dyDescent="0.25">
      <c r="A749">
        <v>11</v>
      </c>
      <c r="B749">
        <v>72</v>
      </c>
      <c r="E749" s="1">
        <v>45071</v>
      </c>
      <c r="F749" s="11">
        <f t="shared" si="64"/>
        <v>45071</v>
      </c>
      <c r="G749">
        <f t="shared" si="66"/>
        <v>2023</v>
      </c>
      <c r="H749">
        <f t="shared" si="67"/>
        <v>5</v>
      </c>
      <c r="I749">
        <f t="shared" si="63"/>
        <v>25</v>
      </c>
      <c r="J749" t="s">
        <v>10</v>
      </c>
      <c r="K749" t="s">
        <v>16</v>
      </c>
      <c r="L749" t="s">
        <v>14</v>
      </c>
      <c r="M749" t="s">
        <v>26</v>
      </c>
      <c r="N749" t="s">
        <v>38</v>
      </c>
      <c r="O749">
        <v>8</v>
      </c>
      <c r="Q749" t="s">
        <v>50</v>
      </c>
      <c r="R749" t="str">
        <f t="shared" si="65"/>
        <v>11_72___05/25/2023_2023_MonMon_CRC_TR_RZ_Rhz_8__Nutri</v>
      </c>
    </row>
    <row r="750" spans="1:18" s="6" customFormat="1" x14ac:dyDescent="0.25">
      <c r="A750" s="8">
        <v>12</v>
      </c>
      <c r="B750" s="8">
        <v>1</v>
      </c>
      <c r="C750" s="8"/>
      <c r="D750" s="8"/>
      <c r="E750" s="9">
        <v>45009</v>
      </c>
      <c r="F750" s="11">
        <f t="shared" si="64"/>
        <v>45009</v>
      </c>
      <c r="G750" s="8">
        <f t="shared" si="66"/>
        <v>2023</v>
      </c>
      <c r="H750" s="8">
        <f t="shared" si="67"/>
        <v>3</v>
      </c>
      <c r="I750" s="8">
        <f t="shared" si="63"/>
        <v>24</v>
      </c>
      <c r="J750" s="8" t="s">
        <v>10</v>
      </c>
      <c r="K750" s="8" t="s">
        <v>16</v>
      </c>
      <c r="L750" s="8" t="s">
        <v>28</v>
      </c>
      <c r="M750" s="8" t="s">
        <v>28</v>
      </c>
      <c r="O750" s="6" t="s">
        <v>23</v>
      </c>
      <c r="Q750" s="6" t="s">
        <v>50</v>
      </c>
      <c r="R750" t="str">
        <f t="shared" si="65"/>
        <v>12_1___03/24/2023_2023_MonMon_CRC_OW_OW__A__Nutri</v>
      </c>
    </row>
    <row r="751" spans="1:18" s="6" customFormat="1" x14ac:dyDescent="0.25">
      <c r="A751" s="8">
        <v>12</v>
      </c>
      <c r="B751" s="8">
        <v>2</v>
      </c>
      <c r="C751" s="8"/>
      <c r="D751" s="8"/>
      <c r="E751" s="9">
        <v>45009</v>
      </c>
      <c r="F751" s="11">
        <f t="shared" si="64"/>
        <v>45009</v>
      </c>
      <c r="G751" s="8">
        <f t="shared" si="66"/>
        <v>2023</v>
      </c>
      <c r="H751" s="8">
        <f t="shared" si="67"/>
        <v>3</v>
      </c>
      <c r="I751" s="8">
        <f t="shared" si="63"/>
        <v>24</v>
      </c>
      <c r="J751" s="8" t="s">
        <v>10</v>
      </c>
      <c r="K751" s="8" t="s">
        <v>16</v>
      </c>
      <c r="L751" s="8" t="s">
        <v>28</v>
      </c>
      <c r="M751" s="8" t="s">
        <v>28</v>
      </c>
      <c r="O751" s="6" t="s">
        <v>24</v>
      </c>
      <c r="Q751" s="6" t="s">
        <v>50</v>
      </c>
      <c r="R751" t="str">
        <f t="shared" si="65"/>
        <v>12_2___03/24/2023_2023_MonMon_CRC_OW_OW__B__Nutri</v>
      </c>
    </row>
    <row r="752" spans="1:18" s="6" customFormat="1" x14ac:dyDescent="0.25">
      <c r="A752" s="8">
        <v>12</v>
      </c>
      <c r="B752" s="8">
        <v>3</v>
      </c>
      <c r="C752" s="8"/>
      <c r="D752" s="8"/>
      <c r="E752" s="9">
        <v>45009</v>
      </c>
      <c r="F752" s="11">
        <f t="shared" si="64"/>
        <v>45009</v>
      </c>
      <c r="G752" s="8">
        <f t="shared" si="66"/>
        <v>2023</v>
      </c>
      <c r="H752" s="8">
        <f t="shared" si="67"/>
        <v>3</v>
      </c>
      <c r="I752" s="8">
        <f t="shared" si="63"/>
        <v>24</v>
      </c>
      <c r="J752" s="8" t="s">
        <v>10</v>
      </c>
      <c r="K752" s="8" t="s">
        <v>16</v>
      </c>
      <c r="L752" s="8" t="s">
        <v>28</v>
      </c>
      <c r="M752" s="8" t="s">
        <v>28</v>
      </c>
      <c r="O752" s="6" t="s">
        <v>25</v>
      </c>
      <c r="Q752" s="6" t="s">
        <v>50</v>
      </c>
      <c r="R752" t="str">
        <f t="shared" si="65"/>
        <v>12_3___03/24/2023_2023_MonMon_CRC_OW_OW__C__Nutri</v>
      </c>
    </row>
    <row r="753" spans="1:18" x14ac:dyDescent="0.25">
      <c r="A753">
        <v>12</v>
      </c>
      <c r="B753">
        <v>4</v>
      </c>
      <c r="E753" s="1">
        <v>45099</v>
      </c>
      <c r="F753" s="11">
        <f t="shared" si="64"/>
        <v>45099</v>
      </c>
      <c r="G753">
        <f t="shared" si="66"/>
        <v>2023</v>
      </c>
      <c r="H753">
        <f t="shared" si="67"/>
        <v>6</v>
      </c>
      <c r="I753">
        <f t="shared" si="63"/>
        <v>22</v>
      </c>
      <c r="J753" t="s">
        <v>10</v>
      </c>
      <c r="K753" t="s">
        <v>8</v>
      </c>
      <c r="L753" t="s">
        <v>51</v>
      </c>
      <c r="M753" t="s">
        <v>11</v>
      </c>
      <c r="N753" t="s">
        <v>27</v>
      </c>
      <c r="O753" t="s">
        <v>23</v>
      </c>
      <c r="P753">
        <v>20</v>
      </c>
      <c r="Q753" t="s">
        <v>50</v>
      </c>
      <c r="R753" t="str">
        <f t="shared" si="65"/>
        <v>12_4___06/22/2023_2023_MonMon_OWC_WE_PW_Sip_A_20_Nutri</v>
      </c>
    </row>
    <row r="754" spans="1:18" x14ac:dyDescent="0.25">
      <c r="A754">
        <v>12</v>
      </c>
      <c r="B754">
        <v>5</v>
      </c>
      <c r="E754" s="1">
        <v>45099</v>
      </c>
      <c r="F754" s="11">
        <f t="shared" si="64"/>
        <v>45099</v>
      </c>
      <c r="G754">
        <f t="shared" si="66"/>
        <v>2023</v>
      </c>
      <c r="H754">
        <f t="shared" si="67"/>
        <v>6</v>
      </c>
      <c r="I754">
        <f t="shared" si="63"/>
        <v>22</v>
      </c>
      <c r="J754" t="s">
        <v>10</v>
      </c>
      <c r="K754" t="s">
        <v>8</v>
      </c>
      <c r="L754" t="s">
        <v>51</v>
      </c>
      <c r="M754" t="s">
        <v>11</v>
      </c>
      <c r="N754" t="s">
        <v>27</v>
      </c>
      <c r="O754" t="s">
        <v>23</v>
      </c>
      <c r="P754">
        <v>45</v>
      </c>
      <c r="Q754" t="s">
        <v>50</v>
      </c>
      <c r="R754" t="str">
        <f t="shared" si="65"/>
        <v>12_5___06/22/2023_2023_MonMon_OWC_WE_PW_Sip_A_45_Nutri</v>
      </c>
    </row>
    <row r="755" spans="1:18" x14ac:dyDescent="0.25">
      <c r="A755">
        <v>12</v>
      </c>
      <c r="B755">
        <v>6</v>
      </c>
      <c r="E755" s="1">
        <v>45099</v>
      </c>
      <c r="F755" s="11">
        <f t="shared" si="64"/>
        <v>45099</v>
      </c>
      <c r="G755">
        <f t="shared" si="66"/>
        <v>2023</v>
      </c>
      <c r="H755">
        <f t="shared" si="67"/>
        <v>6</v>
      </c>
      <c r="I755">
        <f t="shared" si="63"/>
        <v>22</v>
      </c>
      <c r="J755" t="s">
        <v>10</v>
      </c>
      <c r="K755" t="s">
        <v>8</v>
      </c>
      <c r="L755" t="s">
        <v>51</v>
      </c>
      <c r="M755" t="s">
        <v>11</v>
      </c>
      <c r="N755" t="s">
        <v>27</v>
      </c>
      <c r="O755" t="s">
        <v>24</v>
      </c>
      <c r="P755">
        <v>20</v>
      </c>
      <c r="Q755" t="s">
        <v>50</v>
      </c>
      <c r="R755" t="str">
        <f t="shared" si="65"/>
        <v>12_6___06/22/2023_2023_MonMon_OWC_WE_PW_Sip_B_20_Nutri</v>
      </c>
    </row>
    <row r="756" spans="1:18" x14ac:dyDescent="0.25">
      <c r="A756">
        <v>12</v>
      </c>
      <c r="B756">
        <v>7</v>
      </c>
      <c r="E756" s="1">
        <v>45099</v>
      </c>
      <c r="F756" s="11">
        <f t="shared" si="64"/>
        <v>45099</v>
      </c>
      <c r="G756">
        <f t="shared" si="66"/>
        <v>2023</v>
      </c>
      <c r="H756">
        <f t="shared" si="67"/>
        <v>6</v>
      </c>
      <c r="I756">
        <f t="shared" si="63"/>
        <v>22</v>
      </c>
      <c r="J756" t="s">
        <v>10</v>
      </c>
      <c r="K756" t="s">
        <v>8</v>
      </c>
      <c r="L756" t="s">
        <v>14</v>
      </c>
      <c r="M756" t="s">
        <v>11</v>
      </c>
      <c r="N756" t="s">
        <v>15</v>
      </c>
      <c r="O756" t="s">
        <v>23</v>
      </c>
      <c r="P756">
        <v>10</v>
      </c>
      <c r="Q756" t="s">
        <v>50</v>
      </c>
      <c r="R756" t="str">
        <f t="shared" si="65"/>
        <v>12_7___06/22/2023_2023_MonMon_OWC_TR_PW_Lys_A_10_Nutri</v>
      </c>
    </row>
    <row r="757" spans="1:18" x14ac:dyDescent="0.25">
      <c r="A757">
        <v>12</v>
      </c>
      <c r="B757">
        <v>8</v>
      </c>
      <c r="E757" s="1">
        <v>45099</v>
      </c>
      <c r="F757" s="11">
        <f t="shared" si="64"/>
        <v>45099</v>
      </c>
      <c r="G757">
        <f t="shared" si="66"/>
        <v>2023</v>
      </c>
      <c r="H757">
        <f t="shared" si="67"/>
        <v>6</v>
      </c>
      <c r="I757">
        <f t="shared" si="63"/>
        <v>22</v>
      </c>
      <c r="J757" t="s">
        <v>10</v>
      </c>
      <c r="K757" t="s">
        <v>8</v>
      </c>
      <c r="L757" t="s">
        <v>14</v>
      </c>
      <c r="M757" t="s">
        <v>11</v>
      </c>
      <c r="N757" t="s">
        <v>15</v>
      </c>
      <c r="O757" t="s">
        <v>23</v>
      </c>
      <c r="P757">
        <v>20</v>
      </c>
      <c r="Q757" t="s">
        <v>50</v>
      </c>
      <c r="R757" t="str">
        <f t="shared" si="65"/>
        <v>12_8___06/22/2023_2023_MonMon_OWC_TR_PW_Lys_A_20_Nutri</v>
      </c>
    </row>
    <row r="758" spans="1:18" x14ac:dyDescent="0.25">
      <c r="A758">
        <v>12</v>
      </c>
      <c r="B758">
        <v>9</v>
      </c>
      <c r="E758" s="1">
        <v>45099</v>
      </c>
      <c r="F758" s="11">
        <f t="shared" si="64"/>
        <v>45099</v>
      </c>
      <c r="G758">
        <f t="shared" si="66"/>
        <v>2023</v>
      </c>
      <c r="H758">
        <f t="shared" si="67"/>
        <v>6</v>
      </c>
      <c r="I758">
        <f t="shared" si="63"/>
        <v>22</v>
      </c>
      <c r="J758" t="s">
        <v>10</v>
      </c>
      <c r="K758" t="s">
        <v>8</v>
      </c>
      <c r="L758" t="s">
        <v>14</v>
      </c>
      <c r="M758" t="s">
        <v>11</v>
      </c>
      <c r="N758" t="s">
        <v>15</v>
      </c>
      <c r="O758" t="s">
        <v>23</v>
      </c>
      <c r="P758">
        <v>45</v>
      </c>
      <c r="Q758" t="s">
        <v>50</v>
      </c>
      <c r="R758" t="str">
        <f t="shared" si="65"/>
        <v>12_9___06/22/2023_2023_MonMon_OWC_TR_PW_Lys_A_45_Nutri</v>
      </c>
    </row>
    <row r="759" spans="1:18" x14ac:dyDescent="0.25">
      <c r="A759">
        <v>12</v>
      </c>
      <c r="B759">
        <v>10</v>
      </c>
      <c r="E759" s="1">
        <v>45099</v>
      </c>
      <c r="F759" s="11">
        <f t="shared" si="64"/>
        <v>45099</v>
      </c>
      <c r="G759">
        <f t="shared" si="66"/>
        <v>2023</v>
      </c>
      <c r="H759">
        <f t="shared" si="67"/>
        <v>6</v>
      </c>
      <c r="I759">
        <f t="shared" si="63"/>
        <v>22</v>
      </c>
      <c r="J759" t="s">
        <v>10</v>
      </c>
      <c r="K759" t="s">
        <v>8</v>
      </c>
      <c r="L759" t="s">
        <v>14</v>
      </c>
      <c r="M759" t="s">
        <v>11</v>
      </c>
      <c r="N759" t="s">
        <v>15</v>
      </c>
      <c r="O759" t="s">
        <v>24</v>
      </c>
      <c r="P759">
        <v>10</v>
      </c>
      <c r="Q759" t="s">
        <v>50</v>
      </c>
      <c r="R759" t="str">
        <f t="shared" si="65"/>
        <v>12_10___06/22/2023_2023_MonMon_OWC_TR_PW_Lys_B_10_Nutri</v>
      </c>
    </row>
    <row r="760" spans="1:18" x14ac:dyDescent="0.25">
      <c r="A760">
        <v>12</v>
      </c>
      <c r="B760">
        <v>11</v>
      </c>
      <c r="E760" s="1">
        <v>45099</v>
      </c>
      <c r="F760" s="11">
        <f t="shared" si="64"/>
        <v>45099</v>
      </c>
      <c r="G760">
        <f t="shared" si="66"/>
        <v>2023</v>
      </c>
      <c r="H760">
        <f t="shared" si="67"/>
        <v>6</v>
      </c>
      <c r="I760">
        <f t="shared" si="63"/>
        <v>22</v>
      </c>
      <c r="J760" t="s">
        <v>10</v>
      </c>
      <c r="K760" t="s">
        <v>8</v>
      </c>
      <c r="L760" t="s">
        <v>14</v>
      </c>
      <c r="M760" t="s">
        <v>11</v>
      </c>
      <c r="N760" t="s">
        <v>15</v>
      </c>
      <c r="O760" t="s">
        <v>24</v>
      </c>
      <c r="P760">
        <v>20</v>
      </c>
      <c r="Q760" t="s">
        <v>50</v>
      </c>
      <c r="R760" t="str">
        <f t="shared" si="65"/>
        <v>12_11___06/22/2023_2023_MonMon_OWC_TR_PW_Lys_B_20_Nutri</v>
      </c>
    </row>
    <row r="761" spans="1:18" x14ac:dyDescent="0.25">
      <c r="A761">
        <v>12</v>
      </c>
      <c r="B761">
        <v>12</v>
      </c>
      <c r="E761" s="1">
        <v>45099</v>
      </c>
      <c r="F761" s="11">
        <f t="shared" si="64"/>
        <v>45099</v>
      </c>
      <c r="G761">
        <f t="shared" si="66"/>
        <v>2023</v>
      </c>
      <c r="H761">
        <f t="shared" si="67"/>
        <v>6</v>
      </c>
      <c r="I761">
        <f t="shared" si="63"/>
        <v>22</v>
      </c>
      <c r="J761" t="s">
        <v>10</v>
      </c>
      <c r="K761" t="s">
        <v>8</v>
      </c>
      <c r="L761" t="s">
        <v>14</v>
      </c>
      <c r="M761" t="s">
        <v>11</v>
      </c>
      <c r="N761" t="s">
        <v>15</v>
      </c>
      <c r="O761" t="s">
        <v>24</v>
      </c>
      <c r="P761">
        <v>45</v>
      </c>
      <c r="Q761" t="s">
        <v>50</v>
      </c>
      <c r="R761" t="str">
        <f t="shared" si="65"/>
        <v>12_12___06/22/2023_2023_MonMon_OWC_TR_PW_Lys_B_45_Nutri</v>
      </c>
    </row>
    <row r="762" spans="1:18" x14ac:dyDescent="0.25">
      <c r="A762">
        <v>12</v>
      </c>
      <c r="B762">
        <v>13</v>
      </c>
      <c r="E762" s="1">
        <v>45099</v>
      </c>
      <c r="F762" s="11">
        <f t="shared" si="64"/>
        <v>45099</v>
      </c>
      <c r="G762">
        <f t="shared" si="66"/>
        <v>2023</v>
      </c>
      <c r="H762">
        <f t="shared" si="67"/>
        <v>6</v>
      </c>
      <c r="I762">
        <f t="shared" si="63"/>
        <v>22</v>
      </c>
      <c r="J762" t="s">
        <v>10</v>
      </c>
      <c r="K762" t="s">
        <v>8</v>
      </c>
      <c r="L762" t="s">
        <v>14</v>
      </c>
      <c r="M762" t="s">
        <v>11</v>
      </c>
      <c r="N762" t="s">
        <v>15</v>
      </c>
      <c r="O762" t="s">
        <v>25</v>
      </c>
      <c r="P762">
        <v>10</v>
      </c>
      <c r="Q762" t="s">
        <v>50</v>
      </c>
      <c r="R762" t="str">
        <f t="shared" si="65"/>
        <v>12_13___06/22/2023_2023_MonMon_OWC_TR_PW_Lys_C_10_Nutri</v>
      </c>
    </row>
    <row r="763" spans="1:18" x14ac:dyDescent="0.25">
      <c r="A763">
        <v>12</v>
      </c>
      <c r="B763">
        <v>14</v>
      </c>
      <c r="E763" s="1">
        <v>45099</v>
      </c>
      <c r="F763" s="11">
        <f t="shared" si="64"/>
        <v>45099</v>
      </c>
      <c r="G763">
        <f t="shared" si="66"/>
        <v>2023</v>
      </c>
      <c r="H763">
        <f t="shared" si="67"/>
        <v>6</v>
      </c>
      <c r="I763">
        <f t="shared" ref="I763:I819" si="68">DAY(E763)</f>
        <v>22</v>
      </c>
      <c r="J763" t="s">
        <v>10</v>
      </c>
      <c r="K763" t="s">
        <v>8</v>
      </c>
      <c r="L763" t="s">
        <v>14</v>
      </c>
      <c r="M763" t="s">
        <v>11</v>
      </c>
      <c r="N763" t="s">
        <v>15</v>
      </c>
      <c r="O763" t="s">
        <v>25</v>
      </c>
      <c r="P763">
        <v>20</v>
      </c>
      <c r="Q763" t="s">
        <v>50</v>
      </c>
      <c r="R763" t="str">
        <f t="shared" si="65"/>
        <v>12_14___06/22/2023_2023_MonMon_OWC_TR_PW_Lys_C_20_Nutri</v>
      </c>
    </row>
    <row r="764" spans="1:18" x14ac:dyDescent="0.25">
      <c r="A764">
        <v>12</v>
      </c>
      <c r="B764">
        <v>15</v>
      </c>
      <c r="E764" s="1">
        <v>45099</v>
      </c>
      <c r="F764" s="11">
        <f t="shared" si="64"/>
        <v>45099</v>
      </c>
      <c r="G764">
        <f t="shared" si="66"/>
        <v>2023</v>
      </c>
      <c r="H764">
        <f t="shared" si="67"/>
        <v>6</v>
      </c>
      <c r="I764">
        <f t="shared" si="68"/>
        <v>22</v>
      </c>
      <c r="J764" t="s">
        <v>10</v>
      </c>
      <c r="K764" t="s">
        <v>8</v>
      </c>
      <c r="L764" t="s">
        <v>14</v>
      </c>
      <c r="M764" t="s">
        <v>11</v>
      </c>
      <c r="N764" t="s">
        <v>15</v>
      </c>
      <c r="O764" t="s">
        <v>25</v>
      </c>
      <c r="P764">
        <v>45</v>
      </c>
      <c r="Q764" t="s">
        <v>50</v>
      </c>
      <c r="R764" t="str">
        <f t="shared" si="65"/>
        <v>12_15___06/22/2023_2023_MonMon_OWC_TR_PW_Lys_C_45_Nutri</v>
      </c>
    </row>
    <row r="765" spans="1:18" s="6" customFormat="1" x14ac:dyDescent="0.25">
      <c r="A765" s="6">
        <v>12</v>
      </c>
      <c r="B765" s="6">
        <v>16</v>
      </c>
      <c r="E765" s="7">
        <v>45099</v>
      </c>
      <c r="F765" s="11">
        <f t="shared" si="64"/>
        <v>45099</v>
      </c>
      <c r="G765" s="6">
        <f t="shared" si="66"/>
        <v>2023</v>
      </c>
      <c r="H765" s="6">
        <f t="shared" si="67"/>
        <v>6</v>
      </c>
      <c r="I765" s="6">
        <f t="shared" si="68"/>
        <v>22</v>
      </c>
      <c r="J765" s="6" t="s">
        <v>10</v>
      </c>
      <c r="K765" s="6" t="s">
        <v>8</v>
      </c>
      <c r="L765" s="6" t="s">
        <v>28</v>
      </c>
      <c r="M765" s="6" t="s">
        <v>28</v>
      </c>
      <c r="O765" s="6" t="s">
        <v>23</v>
      </c>
      <c r="Q765" s="6" t="s">
        <v>50</v>
      </c>
      <c r="R765" t="str">
        <f t="shared" si="65"/>
        <v>12_16___06/22/2023_2023_MonMon_OWC_OW_OW__A__Nutri</v>
      </c>
    </row>
    <row r="766" spans="1:18" s="6" customFormat="1" x14ac:dyDescent="0.25">
      <c r="A766" s="6">
        <v>12</v>
      </c>
      <c r="B766" s="6">
        <v>17</v>
      </c>
      <c r="E766" s="7">
        <v>45099</v>
      </c>
      <c r="F766" s="11">
        <f t="shared" si="64"/>
        <v>45099</v>
      </c>
      <c r="G766" s="6">
        <f t="shared" si="66"/>
        <v>2023</v>
      </c>
      <c r="H766" s="6">
        <f t="shared" si="67"/>
        <v>6</v>
      </c>
      <c r="I766" s="6">
        <f t="shared" si="68"/>
        <v>22</v>
      </c>
      <c r="J766" s="6" t="s">
        <v>10</v>
      </c>
      <c r="K766" s="6" t="s">
        <v>8</v>
      </c>
      <c r="L766" s="6" t="s">
        <v>28</v>
      </c>
      <c r="M766" s="6" t="s">
        <v>28</v>
      </c>
      <c r="O766" s="6" t="s">
        <v>24</v>
      </c>
      <c r="Q766" s="6" t="s">
        <v>50</v>
      </c>
      <c r="R766" t="str">
        <f t="shared" si="65"/>
        <v>12_17___06/22/2023_2023_MonMon_OWC_OW_OW__B__Nutri</v>
      </c>
    </row>
    <row r="767" spans="1:18" s="6" customFormat="1" x14ac:dyDescent="0.25">
      <c r="A767" s="6">
        <v>12</v>
      </c>
      <c r="B767" s="6">
        <v>18</v>
      </c>
      <c r="E767" s="7">
        <v>45099</v>
      </c>
      <c r="F767" s="11">
        <f t="shared" si="64"/>
        <v>45099</v>
      </c>
      <c r="G767" s="6">
        <f t="shared" si="66"/>
        <v>2023</v>
      </c>
      <c r="H767" s="6">
        <f t="shared" si="67"/>
        <v>6</v>
      </c>
      <c r="I767" s="6">
        <f t="shared" si="68"/>
        <v>22</v>
      </c>
      <c r="J767" s="6" t="s">
        <v>10</v>
      </c>
      <c r="K767" s="6" t="s">
        <v>8</v>
      </c>
      <c r="L767" s="6" t="s">
        <v>28</v>
      </c>
      <c r="M767" s="6" t="s">
        <v>28</v>
      </c>
      <c r="O767" s="6" t="s">
        <v>25</v>
      </c>
      <c r="Q767" s="6" t="s">
        <v>50</v>
      </c>
      <c r="R767" t="str">
        <f t="shared" si="65"/>
        <v>12_18___06/22/2023_2023_MonMon_OWC_OW_OW__C__Nutri</v>
      </c>
    </row>
    <row r="768" spans="1:18" x14ac:dyDescent="0.25">
      <c r="A768">
        <v>12</v>
      </c>
      <c r="B768">
        <v>19</v>
      </c>
      <c r="E768" s="1">
        <v>45099</v>
      </c>
      <c r="F768" s="11">
        <f t="shared" si="64"/>
        <v>45099</v>
      </c>
      <c r="G768">
        <f t="shared" si="66"/>
        <v>2023</v>
      </c>
      <c r="H768">
        <f t="shared" si="67"/>
        <v>6</v>
      </c>
      <c r="I768">
        <f t="shared" si="68"/>
        <v>22</v>
      </c>
      <c r="J768" t="s">
        <v>10</v>
      </c>
      <c r="K768" t="s">
        <v>8</v>
      </c>
      <c r="L768" t="s">
        <v>51</v>
      </c>
      <c r="M768" t="s">
        <v>33</v>
      </c>
      <c r="O768" t="s">
        <v>23</v>
      </c>
      <c r="Q768" t="s">
        <v>50</v>
      </c>
      <c r="R768" t="str">
        <f t="shared" si="65"/>
        <v>12_19___06/22/2023_2023_MonMon_OWC_WE_GW__A__Nutri</v>
      </c>
    </row>
    <row r="769" spans="1:18" x14ac:dyDescent="0.25">
      <c r="A769">
        <v>12</v>
      </c>
      <c r="B769">
        <v>20</v>
      </c>
      <c r="E769" s="1">
        <v>45099</v>
      </c>
      <c r="F769" s="11">
        <f t="shared" si="64"/>
        <v>45099</v>
      </c>
      <c r="G769">
        <f t="shared" si="66"/>
        <v>2023</v>
      </c>
      <c r="H769">
        <f t="shared" si="67"/>
        <v>6</v>
      </c>
      <c r="I769">
        <f t="shared" si="68"/>
        <v>22</v>
      </c>
      <c r="J769" t="s">
        <v>10</v>
      </c>
      <c r="K769" t="s">
        <v>8</v>
      </c>
      <c r="L769" t="s">
        <v>51</v>
      </c>
      <c r="M769" t="s">
        <v>33</v>
      </c>
      <c r="O769" t="s">
        <v>24</v>
      </c>
      <c r="Q769" t="s">
        <v>50</v>
      </c>
      <c r="R769" t="str">
        <f t="shared" si="65"/>
        <v>12_20___06/22/2023_2023_MonMon_OWC_WE_GW__B__Nutri</v>
      </c>
    </row>
    <row r="770" spans="1:18" x14ac:dyDescent="0.25">
      <c r="A770">
        <v>12</v>
      </c>
      <c r="B770">
        <v>21</v>
      </c>
      <c r="E770" s="1">
        <v>45099</v>
      </c>
      <c r="F770" s="11">
        <f t="shared" si="64"/>
        <v>45099</v>
      </c>
      <c r="G770">
        <f t="shared" si="66"/>
        <v>2023</v>
      </c>
      <c r="H770">
        <f t="shared" si="67"/>
        <v>6</v>
      </c>
      <c r="I770">
        <f t="shared" si="68"/>
        <v>22</v>
      </c>
      <c r="J770" t="s">
        <v>10</v>
      </c>
      <c r="K770" t="s">
        <v>8</v>
      </c>
      <c r="L770" t="s">
        <v>51</v>
      </c>
      <c r="M770" t="s">
        <v>33</v>
      </c>
      <c r="O770" t="s">
        <v>25</v>
      </c>
      <c r="Q770" t="s">
        <v>50</v>
      </c>
      <c r="R770" t="str">
        <f t="shared" si="65"/>
        <v>12_21___06/22/2023_2023_MonMon_OWC_WE_GW__C__Nutri</v>
      </c>
    </row>
    <row r="771" spans="1:18" x14ac:dyDescent="0.25">
      <c r="A771">
        <v>12</v>
      </c>
      <c r="B771">
        <v>22</v>
      </c>
      <c r="E771" s="1">
        <v>45099</v>
      </c>
      <c r="F771" s="11">
        <f t="shared" ref="F771:F834" si="69">E771</f>
        <v>45099</v>
      </c>
      <c r="G771">
        <f t="shared" si="66"/>
        <v>2023</v>
      </c>
      <c r="H771">
        <f t="shared" si="67"/>
        <v>6</v>
      </c>
      <c r="I771">
        <f t="shared" si="68"/>
        <v>22</v>
      </c>
      <c r="J771" t="s">
        <v>10</v>
      </c>
      <c r="K771" t="s">
        <v>8</v>
      </c>
      <c r="L771" t="s">
        <v>14</v>
      </c>
      <c r="M771" t="s">
        <v>33</v>
      </c>
      <c r="O771" t="s">
        <v>23</v>
      </c>
      <c r="Q771" t="s">
        <v>50</v>
      </c>
      <c r="R771" t="str">
        <f t="shared" ref="R771:R834" si="70">CONCATENATE(A771,"_",B771,"_", C771,"_",D771,"_",TEXT(E771, "mm/dd/yyyy"),"_",G771,"_",J771,"_",K771,"_",L771,"_",M771,"_",N771,"_",O771,"_",P771,"_",Q771)</f>
        <v>12_22___06/22/2023_2023_MonMon_OWC_TR_GW__A__Nutri</v>
      </c>
    </row>
    <row r="772" spans="1:18" x14ac:dyDescent="0.25">
      <c r="A772">
        <v>12</v>
      </c>
      <c r="B772">
        <v>23</v>
      </c>
      <c r="E772" s="1">
        <v>45099</v>
      </c>
      <c r="F772" s="11">
        <f t="shared" si="69"/>
        <v>45099</v>
      </c>
      <c r="G772">
        <f t="shared" si="66"/>
        <v>2023</v>
      </c>
      <c r="H772">
        <f t="shared" si="67"/>
        <v>6</v>
      </c>
      <c r="I772">
        <f t="shared" si="68"/>
        <v>22</v>
      </c>
      <c r="J772" t="s">
        <v>10</v>
      </c>
      <c r="K772" t="s">
        <v>8</v>
      </c>
      <c r="L772" t="s">
        <v>14</v>
      </c>
      <c r="M772" t="s">
        <v>33</v>
      </c>
      <c r="O772" t="s">
        <v>24</v>
      </c>
      <c r="Q772" t="s">
        <v>50</v>
      </c>
      <c r="R772" t="str">
        <f t="shared" si="70"/>
        <v>12_23___06/22/2023_2023_MonMon_OWC_TR_GW__B__Nutri</v>
      </c>
    </row>
    <row r="773" spans="1:18" x14ac:dyDescent="0.25">
      <c r="A773">
        <v>12</v>
      </c>
      <c r="B773">
        <v>24</v>
      </c>
      <c r="E773" s="1">
        <v>45099</v>
      </c>
      <c r="F773" s="11">
        <f t="shared" si="69"/>
        <v>45099</v>
      </c>
      <c r="G773">
        <f t="shared" ref="G773:G819" si="71">YEAR(E773)</f>
        <v>2023</v>
      </c>
      <c r="H773">
        <f t="shared" ref="H773:H819" si="72">MONTH(E773)</f>
        <v>6</v>
      </c>
      <c r="I773">
        <f t="shared" si="68"/>
        <v>22</v>
      </c>
      <c r="J773" t="s">
        <v>10</v>
      </c>
      <c r="K773" t="s">
        <v>8</v>
      </c>
      <c r="L773" t="s">
        <v>14</v>
      </c>
      <c r="M773" t="s">
        <v>33</v>
      </c>
      <c r="O773" t="s">
        <v>25</v>
      </c>
      <c r="Q773" t="s">
        <v>50</v>
      </c>
      <c r="R773" t="str">
        <f t="shared" si="70"/>
        <v>12_24___06/22/2023_2023_MonMon_OWC_TR_GW__C__Nutri</v>
      </c>
    </row>
    <row r="774" spans="1:18" x14ac:dyDescent="0.25">
      <c r="A774">
        <v>12</v>
      </c>
      <c r="B774">
        <v>25</v>
      </c>
      <c r="E774" s="1">
        <v>45099</v>
      </c>
      <c r="F774" s="11">
        <f t="shared" si="69"/>
        <v>45099</v>
      </c>
      <c r="G774">
        <f t="shared" si="71"/>
        <v>2023</v>
      </c>
      <c r="H774">
        <f t="shared" si="72"/>
        <v>6</v>
      </c>
      <c r="I774">
        <f t="shared" si="68"/>
        <v>22</v>
      </c>
      <c r="J774" t="s">
        <v>10</v>
      </c>
      <c r="K774" t="s">
        <v>8</v>
      </c>
      <c r="L774" t="s">
        <v>17</v>
      </c>
      <c r="M774" t="s">
        <v>33</v>
      </c>
      <c r="O774" t="s">
        <v>23</v>
      </c>
      <c r="Q774" t="s">
        <v>50</v>
      </c>
      <c r="R774" t="str">
        <f t="shared" si="70"/>
        <v>12_25___06/22/2023_2023_MonMon_OWC_UP_GW__A__Nutri</v>
      </c>
    </row>
    <row r="775" spans="1:18" x14ac:dyDescent="0.25">
      <c r="A775">
        <v>12</v>
      </c>
      <c r="B775">
        <v>26</v>
      </c>
      <c r="E775" s="1">
        <v>45099</v>
      </c>
      <c r="F775" s="11">
        <f t="shared" si="69"/>
        <v>45099</v>
      </c>
      <c r="G775">
        <f t="shared" si="71"/>
        <v>2023</v>
      </c>
      <c r="H775">
        <f t="shared" si="72"/>
        <v>6</v>
      </c>
      <c r="I775">
        <f t="shared" si="68"/>
        <v>22</v>
      </c>
      <c r="J775" t="s">
        <v>10</v>
      </c>
      <c r="K775" t="s">
        <v>8</v>
      </c>
      <c r="L775" t="s">
        <v>17</v>
      </c>
      <c r="M775" t="s">
        <v>33</v>
      </c>
      <c r="O775" t="s">
        <v>24</v>
      </c>
      <c r="Q775" t="s">
        <v>50</v>
      </c>
      <c r="R775" t="str">
        <f t="shared" si="70"/>
        <v>12_26___06/22/2023_2023_MonMon_OWC_UP_GW__B__Nutri</v>
      </c>
    </row>
    <row r="776" spans="1:18" x14ac:dyDescent="0.25">
      <c r="A776">
        <v>12</v>
      </c>
      <c r="B776">
        <v>27</v>
      </c>
      <c r="E776" s="1">
        <v>45099</v>
      </c>
      <c r="F776" s="11">
        <f t="shared" si="69"/>
        <v>45099</v>
      </c>
      <c r="G776">
        <f t="shared" si="71"/>
        <v>2023</v>
      </c>
      <c r="H776">
        <f t="shared" si="72"/>
        <v>6</v>
      </c>
      <c r="I776">
        <f t="shared" si="68"/>
        <v>22</v>
      </c>
      <c r="J776" t="s">
        <v>10</v>
      </c>
      <c r="K776" t="s">
        <v>8</v>
      </c>
      <c r="L776" t="s">
        <v>17</v>
      </c>
      <c r="M776" t="s">
        <v>33</v>
      </c>
      <c r="O776" t="s">
        <v>25</v>
      </c>
      <c r="Q776" t="s">
        <v>50</v>
      </c>
      <c r="R776" t="str">
        <f t="shared" si="70"/>
        <v>12_27___06/22/2023_2023_MonMon_OWC_UP_GW__C__Nutri</v>
      </c>
    </row>
    <row r="777" spans="1:18" x14ac:dyDescent="0.25">
      <c r="A777">
        <v>12</v>
      </c>
      <c r="B777">
        <v>28</v>
      </c>
      <c r="E777" s="1">
        <v>45099</v>
      </c>
      <c r="F777" s="11">
        <f t="shared" si="69"/>
        <v>45099</v>
      </c>
      <c r="G777">
        <f t="shared" si="71"/>
        <v>2023</v>
      </c>
      <c r="H777">
        <f t="shared" si="72"/>
        <v>6</v>
      </c>
      <c r="I777">
        <f t="shared" si="68"/>
        <v>22</v>
      </c>
      <c r="J777" t="s">
        <v>10</v>
      </c>
      <c r="K777" t="s">
        <v>8</v>
      </c>
      <c r="L777" t="s">
        <v>14</v>
      </c>
      <c r="M777" t="s">
        <v>26</v>
      </c>
      <c r="N777" t="s">
        <v>38</v>
      </c>
      <c r="O777">
        <v>1</v>
      </c>
      <c r="Q777" t="s">
        <v>50</v>
      </c>
      <c r="R777" t="str">
        <f t="shared" si="70"/>
        <v>12_28___06/22/2023_2023_MonMon_OWC_TR_RZ_Rhz_1__Nutri</v>
      </c>
    </row>
    <row r="778" spans="1:18" x14ac:dyDescent="0.25">
      <c r="A778">
        <v>12</v>
      </c>
      <c r="B778">
        <v>29</v>
      </c>
      <c r="E778" s="1">
        <v>45099</v>
      </c>
      <c r="F778" s="11">
        <f t="shared" si="69"/>
        <v>45099</v>
      </c>
      <c r="G778">
        <f t="shared" si="71"/>
        <v>2023</v>
      </c>
      <c r="H778">
        <f t="shared" si="72"/>
        <v>6</v>
      </c>
      <c r="I778">
        <f t="shared" si="68"/>
        <v>22</v>
      </c>
      <c r="J778" t="s">
        <v>10</v>
      </c>
      <c r="K778" t="s">
        <v>8</v>
      </c>
      <c r="L778" t="s">
        <v>14</v>
      </c>
      <c r="M778" t="s">
        <v>26</v>
      </c>
      <c r="N778" t="s">
        <v>38</v>
      </c>
      <c r="O778">
        <v>2</v>
      </c>
      <c r="Q778" t="s">
        <v>50</v>
      </c>
      <c r="R778" t="str">
        <f t="shared" si="70"/>
        <v>12_29___06/22/2023_2023_MonMon_OWC_TR_RZ_Rhz_2__Nutri</v>
      </c>
    </row>
    <row r="779" spans="1:18" x14ac:dyDescent="0.25">
      <c r="A779">
        <v>12</v>
      </c>
      <c r="B779">
        <v>30</v>
      </c>
      <c r="E779" s="1">
        <v>45099</v>
      </c>
      <c r="F779" s="11">
        <f t="shared" si="69"/>
        <v>45099</v>
      </c>
      <c r="G779">
        <f t="shared" si="71"/>
        <v>2023</v>
      </c>
      <c r="H779">
        <f t="shared" si="72"/>
        <v>6</v>
      </c>
      <c r="I779">
        <f t="shared" si="68"/>
        <v>22</v>
      </c>
      <c r="J779" t="s">
        <v>10</v>
      </c>
      <c r="K779" t="s">
        <v>8</v>
      </c>
      <c r="L779" t="s">
        <v>14</v>
      </c>
      <c r="M779" t="s">
        <v>26</v>
      </c>
      <c r="N779" t="s">
        <v>38</v>
      </c>
      <c r="O779">
        <v>3</v>
      </c>
      <c r="Q779" t="s">
        <v>50</v>
      </c>
      <c r="R779" t="str">
        <f t="shared" si="70"/>
        <v>12_30___06/22/2023_2023_MonMon_OWC_TR_RZ_Rhz_3__Nutri</v>
      </c>
    </row>
    <row r="780" spans="1:18" x14ac:dyDescent="0.25">
      <c r="A780">
        <v>12</v>
      </c>
      <c r="B780">
        <v>31</v>
      </c>
      <c r="E780" s="1">
        <v>45099</v>
      </c>
      <c r="F780" s="11">
        <f t="shared" si="69"/>
        <v>45099</v>
      </c>
      <c r="G780">
        <f t="shared" si="71"/>
        <v>2023</v>
      </c>
      <c r="H780">
        <f t="shared" si="72"/>
        <v>6</v>
      </c>
      <c r="I780">
        <f t="shared" si="68"/>
        <v>22</v>
      </c>
      <c r="J780" t="s">
        <v>10</v>
      </c>
      <c r="K780" t="s">
        <v>8</v>
      </c>
      <c r="L780" t="s">
        <v>14</v>
      </c>
      <c r="M780" t="s">
        <v>26</v>
      </c>
      <c r="N780" t="s">
        <v>38</v>
      </c>
      <c r="O780">
        <v>4</v>
      </c>
      <c r="Q780" t="s">
        <v>50</v>
      </c>
      <c r="R780" t="str">
        <f t="shared" si="70"/>
        <v>12_31___06/22/2023_2023_MonMon_OWC_TR_RZ_Rhz_4__Nutri</v>
      </c>
    </row>
    <row r="781" spans="1:18" x14ac:dyDescent="0.25">
      <c r="A781">
        <v>12</v>
      </c>
      <c r="B781">
        <v>32</v>
      </c>
      <c r="E781" s="1">
        <v>45099</v>
      </c>
      <c r="F781" s="11">
        <f t="shared" si="69"/>
        <v>45099</v>
      </c>
      <c r="G781">
        <f t="shared" si="71"/>
        <v>2023</v>
      </c>
      <c r="H781">
        <f t="shared" si="72"/>
        <v>6</v>
      </c>
      <c r="I781">
        <f t="shared" si="68"/>
        <v>22</v>
      </c>
      <c r="J781" t="s">
        <v>10</v>
      </c>
      <c r="K781" t="s">
        <v>8</v>
      </c>
      <c r="L781" t="s">
        <v>14</v>
      </c>
      <c r="M781" t="s">
        <v>26</v>
      </c>
      <c r="N781" t="s">
        <v>38</v>
      </c>
      <c r="O781">
        <v>5</v>
      </c>
      <c r="Q781" t="s">
        <v>50</v>
      </c>
      <c r="R781" t="str">
        <f t="shared" si="70"/>
        <v>12_32___06/22/2023_2023_MonMon_OWC_TR_RZ_Rhz_5__Nutri</v>
      </c>
    </row>
    <row r="782" spans="1:18" x14ac:dyDescent="0.25">
      <c r="A782">
        <v>12</v>
      </c>
      <c r="B782">
        <v>33</v>
      </c>
      <c r="E782" s="1">
        <v>45099</v>
      </c>
      <c r="F782" s="11">
        <f t="shared" si="69"/>
        <v>45099</v>
      </c>
      <c r="G782">
        <f t="shared" si="71"/>
        <v>2023</v>
      </c>
      <c r="H782">
        <f t="shared" si="72"/>
        <v>6</v>
      </c>
      <c r="I782">
        <f t="shared" si="68"/>
        <v>22</v>
      </c>
      <c r="J782" t="s">
        <v>10</v>
      </c>
      <c r="K782" t="s">
        <v>8</v>
      </c>
      <c r="L782" t="s">
        <v>14</v>
      </c>
      <c r="M782" t="s">
        <v>26</v>
      </c>
      <c r="N782" t="s">
        <v>38</v>
      </c>
      <c r="O782">
        <v>6</v>
      </c>
      <c r="Q782" t="s">
        <v>50</v>
      </c>
      <c r="R782" t="str">
        <f t="shared" si="70"/>
        <v>12_33___06/22/2023_2023_MonMon_OWC_TR_RZ_Rhz_6__Nutri</v>
      </c>
    </row>
    <row r="783" spans="1:18" x14ac:dyDescent="0.25">
      <c r="A783">
        <v>12</v>
      </c>
      <c r="B783">
        <v>34</v>
      </c>
      <c r="E783" s="1">
        <v>45099</v>
      </c>
      <c r="F783" s="11">
        <f t="shared" si="69"/>
        <v>45099</v>
      </c>
      <c r="G783">
        <f t="shared" si="71"/>
        <v>2023</v>
      </c>
      <c r="H783">
        <f t="shared" si="72"/>
        <v>6</v>
      </c>
      <c r="I783">
        <f t="shared" si="68"/>
        <v>22</v>
      </c>
      <c r="J783" t="s">
        <v>10</v>
      </c>
      <c r="K783" t="s">
        <v>8</v>
      </c>
      <c r="L783" t="s">
        <v>14</v>
      </c>
      <c r="M783" t="s">
        <v>26</v>
      </c>
      <c r="N783" t="s">
        <v>38</v>
      </c>
      <c r="O783">
        <v>7</v>
      </c>
      <c r="Q783" t="s">
        <v>50</v>
      </c>
      <c r="R783" t="str">
        <f t="shared" si="70"/>
        <v>12_34___06/22/2023_2023_MonMon_OWC_TR_RZ_Rhz_7__Nutri</v>
      </c>
    </row>
    <row r="784" spans="1:18" x14ac:dyDescent="0.25">
      <c r="A784">
        <v>12</v>
      </c>
      <c r="B784">
        <v>35</v>
      </c>
      <c r="E784" s="1">
        <v>45099</v>
      </c>
      <c r="F784" s="11">
        <f t="shared" si="69"/>
        <v>45099</v>
      </c>
      <c r="G784">
        <f t="shared" si="71"/>
        <v>2023</v>
      </c>
      <c r="H784">
        <f t="shared" si="72"/>
        <v>6</v>
      </c>
      <c r="I784">
        <f t="shared" si="68"/>
        <v>22</v>
      </c>
      <c r="J784" t="s">
        <v>10</v>
      </c>
      <c r="K784" t="s">
        <v>8</v>
      </c>
      <c r="L784" t="s">
        <v>14</v>
      </c>
      <c r="M784" t="s">
        <v>26</v>
      </c>
      <c r="N784" t="s">
        <v>38</v>
      </c>
      <c r="O784">
        <v>8</v>
      </c>
      <c r="Q784" t="s">
        <v>50</v>
      </c>
      <c r="R784" t="str">
        <f t="shared" si="70"/>
        <v>12_35___06/22/2023_2023_MonMon_OWC_TR_RZ_Rhz_8__Nutri</v>
      </c>
    </row>
    <row r="785" spans="1:18" x14ac:dyDescent="0.25">
      <c r="A785">
        <v>12</v>
      </c>
      <c r="B785">
        <v>36</v>
      </c>
      <c r="E785" s="1">
        <v>45099</v>
      </c>
      <c r="F785" s="11">
        <f t="shared" si="69"/>
        <v>45099</v>
      </c>
      <c r="G785">
        <f t="shared" si="71"/>
        <v>2023</v>
      </c>
      <c r="H785">
        <f t="shared" si="72"/>
        <v>6</v>
      </c>
      <c r="I785">
        <f t="shared" si="68"/>
        <v>22</v>
      </c>
      <c r="J785" t="s">
        <v>10</v>
      </c>
      <c r="K785" t="s">
        <v>8</v>
      </c>
      <c r="L785" t="s">
        <v>17</v>
      </c>
      <c r="M785" t="s">
        <v>26</v>
      </c>
      <c r="N785" t="s">
        <v>38</v>
      </c>
      <c r="O785">
        <v>1</v>
      </c>
      <c r="Q785" t="s">
        <v>50</v>
      </c>
      <c r="R785" t="str">
        <f t="shared" si="70"/>
        <v>12_36___06/22/2023_2023_MonMon_OWC_UP_RZ_Rhz_1__Nutri</v>
      </c>
    </row>
    <row r="786" spans="1:18" x14ac:dyDescent="0.25">
      <c r="A786">
        <v>12</v>
      </c>
      <c r="B786">
        <v>37</v>
      </c>
      <c r="E786" s="1">
        <v>45099</v>
      </c>
      <c r="F786" s="11">
        <f t="shared" si="69"/>
        <v>45099</v>
      </c>
      <c r="G786">
        <f t="shared" si="71"/>
        <v>2023</v>
      </c>
      <c r="H786">
        <f t="shared" si="72"/>
        <v>6</v>
      </c>
      <c r="I786">
        <f t="shared" si="68"/>
        <v>22</v>
      </c>
      <c r="J786" t="s">
        <v>10</v>
      </c>
      <c r="K786" t="s">
        <v>8</v>
      </c>
      <c r="L786" t="s">
        <v>17</v>
      </c>
      <c r="M786" t="s">
        <v>26</v>
      </c>
      <c r="N786" t="s">
        <v>38</v>
      </c>
      <c r="O786">
        <v>4</v>
      </c>
      <c r="Q786" t="s">
        <v>50</v>
      </c>
      <c r="R786" t="str">
        <f t="shared" si="70"/>
        <v>12_37___06/22/2023_2023_MonMon_OWC_UP_RZ_Rhz_4__Nutri</v>
      </c>
    </row>
    <row r="787" spans="1:18" x14ac:dyDescent="0.25">
      <c r="A787">
        <v>12</v>
      </c>
      <c r="B787">
        <v>38</v>
      </c>
      <c r="E787" s="1">
        <v>45099</v>
      </c>
      <c r="F787" s="11">
        <f t="shared" si="69"/>
        <v>45099</v>
      </c>
      <c r="G787">
        <f t="shared" si="71"/>
        <v>2023</v>
      </c>
      <c r="H787">
        <f t="shared" si="72"/>
        <v>6</v>
      </c>
      <c r="I787">
        <f t="shared" si="68"/>
        <v>22</v>
      </c>
      <c r="J787" t="s">
        <v>10</v>
      </c>
      <c r="K787" t="s">
        <v>8</v>
      </c>
      <c r="L787" t="s">
        <v>17</v>
      </c>
      <c r="M787" t="s">
        <v>26</v>
      </c>
      <c r="N787" t="s">
        <v>38</v>
      </c>
      <c r="O787">
        <v>5</v>
      </c>
      <c r="Q787" t="s">
        <v>50</v>
      </c>
      <c r="R787" t="str">
        <f t="shared" si="70"/>
        <v>12_38___06/22/2023_2023_MonMon_OWC_UP_RZ_Rhz_5__Nutri</v>
      </c>
    </row>
    <row r="788" spans="1:18" x14ac:dyDescent="0.25">
      <c r="A788">
        <v>12</v>
      </c>
      <c r="B788">
        <v>39</v>
      </c>
      <c r="E788" s="1">
        <v>45099</v>
      </c>
      <c r="F788" s="11">
        <f t="shared" si="69"/>
        <v>45099</v>
      </c>
      <c r="G788">
        <f t="shared" si="71"/>
        <v>2023</v>
      </c>
      <c r="H788">
        <f t="shared" si="72"/>
        <v>6</v>
      </c>
      <c r="I788">
        <f t="shared" si="68"/>
        <v>22</v>
      </c>
      <c r="J788" t="s">
        <v>10</v>
      </c>
      <c r="K788" t="s">
        <v>8</v>
      </c>
      <c r="L788" t="s">
        <v>17</v>
      </c>
      <c r="M788" t="s">
        <v>26</v>
      </c>
      <c r="N788" t="s">
        <v>38</v>
      </c>
      <c r="O788">
        <v>6</v>
      </c>
      <c r="Q788" t="s">
        <v>50</v>
      </c>
      <c r="R788" t="str">
        <f t="shared" si="70"/>
        <v>12_39___06/22/2023_2023_MonMon_OWC_UP_RZ_Rhz_6__Nutri</v>
      </c>
    </row>
    <row r="789" spans="1:18" x14ac:dyDescent="0.25">
      <c r="A789">
        <v>12</v>
      </c>
      <c r="B789">
        <v>40</v>
      </c>
      <c r="E789" s="1">
        <v>45106</v>
      </c>
      <c r="F789" s="11">
        <f t="shared" si="69"/>
        <v>45106</v>
      </c>
      <c r="G789">
        <f t="shared" si="71"/>
        <v>2023</v>
      </c>
      <c r="H789">
        <f t="shared" si="72"/>
        <v>6</v>
      </c>
      <c r="I789">
        <f t="shared" si="68"/>
        <v>29</v>
      </c>
      <c r="J789" t="s">
        <v>10</v>
      </c>
      <c r="K789" t="s">
        <v>16</v>
      </c>
      <c r="L789" t="s">
        <v>51</v>
      </c>
      <c r="M789" t="s">
        <v>11</v>
      </c>
      <c r="N789" t="s">
        <v>27</v>
      </c>
      <c r="O789" t="s">
        <v>23</v>
      </c>
      <c r="P789">
        <v>10</v>
      </c>
      <c r="Q789" t="s">
        <v>50</v>
      </c>
      <c r="R789" t="str">
        <f t="shared" si="70"/>
        <v>12_40___06/29/2023_2023_MonMon_CRC_WE_PW_Sip_A_10_Nutri</v>
      </c>
    </row>
    <row r="790" spans="1:18" x14ac:dyDescent="0.25">
      <c r="A790">
        <v>12</v>
      </c>
      <c r="B790">
        <v>41</v>
      </c>
      <c r="E790" s="1">
        <v>45106</v>
      </c>
      <c r="F790" s="11">
        <f t="shared" si="69"/>
        <v>45106</v>
      </c>
      <c r="G790">
        <f t="shared" si="71"/>
        <v>2023</v>
      </c>
      <c r="H790">
        <f t="shared" si="72"/>
        <v>6</v>
      </c>
      <c r="I790">
        <f t="shared" si="68"/>
        <v>29</v>
      </c>
      <c r="J790" t="s">
        <v>10</v>
      </c>
      <c r="K790" t="s">
        <v>16</v>
      </c>
      <c r="L790" t="s">
        <v>51</v>
      </c>
      <c r="M790" t="s">
        <v>11</v>
      </c>
      <c r="N790" t="s">
        <v>27</v>
      </c>
      <c r="O790" t="s">
        <v>23</v>
      </c>
      <c r="P790">
        <v>20</v>
      </c>
      <c r="Q790" t="s">
        <v>50</v>
      </c>
      <c r="R790" t="str">
        <f t="shared" si="70"/>
        <v>12_41___06/29/2023_2023_MonMon_CRC_WE_PW_Sip_A_20_Nutri</v>
      </c>
    </row>
    <row r="791" spans="1:18" x14ac:dyDescent="0.25">
      <c r="A791">
        <v>12</v>
      </c>
      <c r="B791">
        <v>42</v>
      </c>
      <c r="E791" s="1">
        <v>45106</v>
      </c>
      <c r="F791" s="11">
        <f t="shared" si="69"/>
        <v>45106</v>
      </c>
      <c r="G791">
        <f t="shared" si="71"/>
        <v>2023</v>
      </c>
      <c r="H791">
        <f t="shared" si="72"/>
        <v>6</v>
      </c>
      <c r="I791">
        <f t="shared" si="68"/>
        <v>29</v>
      </c>
      <c r="J791" t="s">
        <v>10</v>
      </c>
      <c r="K791" t="s">
        <v>16</v>
      </c>
      <c r="L791" t="s">
        <v>51</v>
      </c>
      <c r="M791" t="s">
        <v>11</v>
      </c>
      <c r="N791" t="s">
        <v>27</v>
      </c>
      <c r="O791" t="s">
        <v>23</v>
      </c>
      <c r="P791">
        <v>45</v>
      </c>
      <c r="Q791" t="s">
        <v>50</v>
      </c>
      <c r="R791" t="str">
        <f t="shared" si="70"/>
        <v>12_42___06/29/2023_2023_MonMon_CRC_WE_PW_Sip_A_45_Nutri</v>
      </c>
    </row>
    <row r="792" spans="1:18" x14ac:dyDescent="0.25">
      <c r="A792">
        <v>12</v>
      </c>
      <c r="B792">
        <v>43</v>
      </c>
      <c r="E792" s="1">
        <v>45106</v>
      </c>
      <c r="F792" s="11">
        <f t="shared" si="69"/>
        <v>45106</v>
      </c>
      <c r="G792">
        <f t="shared" si="71"/>
        <v>2023</v>
      </c>
      <c r="H792">
        <f t="shared" si="72"/>
        <v>6</v>
      </c>
      <c r="I792">
        <f t="shared" si="68"/>
        <v>29</v>
      </c>
      <c r="J792" t="s">
        <v>10</v>
      </c>
      <c r="K792" t="s">
        <v>16</v>
      </c>
      <c r="L792" t="s">
        <v>51</v>
      </c>
      <c r="M792" t="s">
        <v>11</v>
      </c>
      <c r="N792" t="s">
        <v>27</v>
      </c>
      <c r="O792" t="s">
        <v>24</v>
      </c>
      <c r="P792">
        <v>10</v>
      </c>
      <c r="Q792" t="s">
        <v>50</v>
      </c>
      <c r="R792" t="str">
        <f t="shared" si="70"/>
        <v>12_43___06/29/2023_2023_MonMon_CRC_WE_PW_Sip_B_10_Nutri</v>
      </c>
    </row>
    <row r="793" spans="1:18" x14ac:dyDescent="0.25">
      <c r="A793">
        <v>12</v>
      </c>
      <c r="B793">
        <v>44</v>
      </c>
      <c r="E793" s="1">
        <v>45106</v>
      </c>
      <c r="F793" s="11">
        <f t="shared" si="69"/>
        <v>45106</v>
      </c>
      <c r="G793">
        <f t="shared" si="71"/>
        <v>2023</v>
      </c>
      <c r="H793">
        <f t="shared" si="72"/>
        <v>6</v>
      </c>
      <c r="I793">
        <f t="shared" si="68"/>
        <v>29</v>
      </c>
      <c r="J793" t="s">
        <v>10</v>
      </c>
      <c r="K793" t="s">
        <v>16</v>
      </c>
      <c r="L793" t="s">
        <v>51</v>
      </c>
      <c r="M793" t="s">
        <v>11</v>
      </c>
      <c r="N793" t="s">
        <v>27</v>
      </c>
      <c r="O793" t="s">
        <v>24</v>
      </c>
      <c r="P793">
        <v>20</v>
      </c>
      <c r="Q793" t="s">
        <v>50</v>
      </c>
      <c r="R793" t="str">
        <f t="shared" si="70"/>
        <v>12_44___06/29/2023_2023_MonMon_CRC_WE_PW_Sip_B_20_Nutri</v>
      </c>
    </row>
    <row r="794" spans="1:18" x14ac:dyDescent="0.25">
      <c r="A794">
        <v>12</v>
      </c>
      <c r="B794">
        <v>45</v>
      </c>
      <c r="E794" s="1">
        <v>45106</v>
      </c>
      <c r="F794" s="11">
        <f t="shared" si="69"/>
        <v>45106</v>
      </c>
      <c r="G794">
        <f t="shared" si="71"/>
        <v>2023</v>
      </c>
      <c r="H794">
        <f t="shared" si="72"/>
        <v>6</v>
      </c>
      <c r="I794">
        <f t="shared" si="68"/>
        <v>29</v>
      </c>
      <c r="J794" t="s">
        <v>10</v>
      </c>
      <c r="K794" t="s">
        <v>16</v>
      </c>
      <c r="L794" t="s">
        <v>51</v>
      </c>
      <c r="M794" t="s">
        <v>11</v>
      </c>
      <c r="N794" t="s">
        <v>27</v>
      </c>
      <c r="O794" t="s">
        <v>24</v>
      </c>
      <c r="P794">
        <v>45</v>
      </c>
      <c r="Q794" t="s">
        <v>50</v>
      </c>
      <c r="R794" t="str">
        <f t="shared" si="70"/>
        <v>12_45___06/29/2023_2023_MonMon_CRC_WE_PW_Sip_B_45_Nutri</v>
      </c>
    </row>
    <row r="795" spans="1:18" x14ac:dyDescent="0.25">
      <c r="A795">
        <v>12</v>
      </c>
      <c r="B795">
        <v>46</v>
      </c>
      <c r="E795" s="1">
        <v>45106</v>
      </c>
      <c r="F795" s="11">
        <f t="shared" si="69"/>
        <v>45106</v>
      </c>
      <c r="G795">
        <f t="shared" si="71"/>
        <v>2023</v>
      </c>
      <c r="H795">
        <f t="shared" si="72"/>
        <v>6</v>
      </c>
      <c r="I795">
        <f t="shared" si="68"/>
        <v>29</v>
      </c>
      <c r="J795" t="s">
        <v>10</v>
      </c>
      <c r="K795" t="s">
        <v>16</v>
      </c>
      <c r="L795" t="s">
        <v>51</v>
      </c>
      <c r="M795" t="s">
        <v>11</v>
      </c>
      <c r="N795" t="s">
        <v>27</v>
      </c>
      <c r="O795" t="s">
        <v>25</v>
      </c>
      <c r="P795">
        <v>10</v>
      </c>
      <c r="Q795" t="s">
        <v>50</v>
      </c>
      <c r="R795" t="str">
        <f t="shared" si="70"/>
        <v>12_46___06/29/2023_2023_MonMon_CRC_WE_PW_Sip_C_10_Nutri</v>
      </c>
    </row>
    <row r="796" spans="1:18" x14ac:dyDescent="0.25">
      <c r="A796">
        <v>12</v>
      </c>
      <c r="B796">
        <v>47</v>
      </c>
      <c r="E796" s="1">
        <v>45106</v>
      </c>
      <c r="F796" s="11">
        <f t="shared" si="69"/>
        <v>45106</v>
      </c>
      <c r="G796">
        <f t="shared" si="71"/>
        <v>2023</v>
      </c>
      <c r="H796">
        <f t="shared" si="72"/>
        <v>6</v>
      </c>
      <c r="I796">
        <f t="shared" si="68"/>
        <v>29</v>
      </c>
      <c r="J796" t="s">
        <v>10</v>
      </c>
      <c r="K796" t="s">
        <v>16</v>
      </c>
      <c r="L796" t="s">
        <v>51</v>
      </c>
      <c r="M796" t="s">
        <v>11</v>
      </c>
      <c r="N796" t="s">
        <v>27</v>
      </c>
      <c r="O796" t="s">
        <v>25</v>
      </c>
      <c r="P796">
        <v>20</v>
      </c>
      <c r="Q796" t="s">
        <v>50</v>
      </c>
      <c r="R796" t="str">
        <f t="shared" si="70"/>
        <v>12_47___06/29/2023_2023_MonMon_CRC_WE_PW_Sip_C_20_Nutri</v>
      </c>
    </row>
    <row r="797" spans="1:18" x14ac:dyDescent="0.25">
      <c r="A797">
        <v>12</v>
      </c>
      <c r="B797">
        <v>48</v>
      </c>
      <c r="E797" s="1">
        <v>45106</v>
      </c>
      <c r="F797" s="11">
        <f t="shared" si="69"/>
        <v>45106</v>
      </c>
      <c r="G797">
        <f t="shared" si="71"/>
        <v>2023</v>
      </c>
      <c r="H797">
        <f t="shared" si="72"/>
        <v>6</v>
      </c>
      <c r="I797">
        <f t="shared" si="68"/>
        <v>29</v>
      </c>
      <c r="J797" t="s">
        <v>10</v>
      </c>
      <c r="K797" t="s">
        <v>16</v>
      </c>
      <c r="L797" t="s">
        <v>51</v>
      </c>
      <c r="M797" t="s">
        <v>11</v>
      </c>
      <c r="N797" t="s">
        <v>27</v>
      </c>
      <c r="O797" t="s">
        <v>25</v>
      </c>
      <c r="P797">
        <v>45</v>
      </c>
      <c r="Q797" t="s">
        <v>50</v>
      </c>
      <c r="R797" t="str">
        <f t="shared" si="70"/>
        <v>12_48___06/29/2023_2023_MonMon_CRC_WE_PW_Sip_C_45_Nutri</v>
      </c>
    </row>
    <row r="798" spans="1:18" x14ac:dyDescent="0.25">
      <c r="A798">
        <v>12</v>
      </c>
      <c r="B798">
        <v>49</v>
      </c>
      <c r="E798" s="1">
        <v>45106</v>
      </c>
      <c r="F798" s="11">
        <f t="shared" si="69"/>
        <v>45106</v>
      </c>
      <c r="G798">
        <f t="shared" si="71"/>
        <v>2023</v>
      </c>
      <c r="H798">
        <f t="shared" si="72"/>
        <v>6</v>
      </c>
      <c r="I798">
        <f t="shared" si="68"/>
        <v>29</v>
      </c>
      <c r="J798" t="s">
        <v>10</v>
      </c>
      <c r="K798" t="s">
        <v>16</v>
      </c>
      <c r="L798" t="s">
        <v>14</v>
      </c>
      <c r="M798" t="s">
        <v>11</v>
      </c>
      <c r="N798" t="s">
        <v>15</v>
      </c>
      <c r="O798" t="s">
        <v>23</v>
      </c>
      <c r="P798">
        <v>10</v>
      </c>
      <c r="Q798" t="s">
        <v>50</v>
      </c>
      <c r="R798" t="str">
        <f t="shared" si="70"/>
        <v>12_49___06/29/2023_2023_MonMon_CRC_TR_PW_Lys_A_10_Nutri</v>
      </c>
    </row>
    <row r="799" spans="1:18" x14ac:dyDescent="0.25">
      <c r="A799">
        <v>12</v>
      </c>
      <c r="B799">
        <v>50</v>
      </c>
      <c r="E799" s="1">
        <v>45106</v>
      </c>
      <c r="F799" s="11">
        <f t="shared" si="69"/>
        <v>45106</v>
      </c>
      <c r="G799">
        <f t="shared" si="71"/>
        <v>2023</v>
      </c>
      <c r="H799">
        <f t="shared" si="72"/>
        <v>6</v>
      </c>
      <c r="I799">
        <f t="shared" si="68"/>
        <v>29</v>
      </c>
      <c r="J799" t="s">
        <v>10</v>
      </c>
      <c r="K799" t="s">
        <v>16</v>
      </c>
      <c r="L799" t="s">
        <v>14</v>
      </c>
      <c r="M799" t="s">
        <v>11</v>
      </c>
      <c r="N799" t="s">
        <v>15</v>
      </c>
      <c r="O799" t="s">
        <v>23</v>
      </c>
      <c r="P799">
        <v>20</v>
      </c>
      <c r="Q799" t="s">
        <v>50</v>
      </c>
      <c r="R799" t="str">
        <f t="shared" si="70"/>
        <v>12_50___06/29/2023_2023_MonMon_CRC_TR_PW_Lys_A_20_Nutri</v>
      </c>
    </row>
    <row r="800" spans="1:18" x14ac:dyDescent="0.25">
      <c r="A800">
        <v>12</v>
      </c>
      <c r="B800">
        <v>51</v>
      </c>
      <c r="E800" s="1">
        <v>45106</v>
      </c>
      <c r="F800" s="11">
        <f t="shared" si="69"/>
        <v>45106</v>
      </c>
      <c r="G800">
        <f t="shared" si="71"/>
        <v>2023</v>
      </c>
      <c r="H800">
        <f t="shared" si="72"/>
        <v>6</v>
      </c>
      <c r="I800">
        <f t="shared" si="68"/>
        <v>29</v>
      </c>
      <c r="J800" t="s">
        <v>10</v>
      </c>
      <c r="K800" t="s">
        <v>16</v>
      </c>
      <c r="L800" t="s">
        <v>14</v>
      </c>
      <c r="M800" t="s">
        <v>11</v>
      </c>
      <c r="N800" t="s">
        <v>15</v>
      </c>
      <c r="O800" t="s">
        <v>23</v>
      </c>
      <c r="P800">
        <v>45</v>
      </c>
      <c r="Q800" t="s">
        <v>50</v>
      </c>
      <c r="R800" t="str">
        <f t="shared" si="70"/>
        <v>12_51___06/29/2023_2023_MonMon_CRC_TR_PW_Lys_A_45_Nutri</v>
      </c>
    </row>
    <row r="801" spans="1:18" x14ac:dyDescent="0.25">
      <c r="A801">
        <v>12</v>
      </c>
      <c r="B801">
        <v>52</v>
      </c>
      <c r="E801" s="1">
        <v>45106</v>
      </c>
      <c r="F801" s="11">
        <f t="shared" si="69"/>
        <v>45106</v>
      </c>
      <c r="G801">
        <f t="shared" si="71"/>
        <v>2023</v>
      </c>
      <c r="H801">
        <f t="shared" si="72"/>
        <v>6</v>
      </c>
      <c r="I801">
        <f t="shared" si="68"/>
        <v>29</v>
      </c>
      <c r="J801" t="s">
        <v>10</v>
      </c>
      <c r="K801" t="s">
        <v>16</v>
      </c>
      <c r="L801" t="s">
        <v>14</v>
      </c>
      <c r="M801" t="s">
        <v>11</v>
      </c>
      <c r="N801" t="s">
        <v>15</v>
      </c>
      <c r="O801" t="s">
        <v>24</v>
      </c>
      <c r="P801">
        <v>10</v>
      </c>
      <c r="Q801" t="s">
        <v>50</v>
      </c>
      <c r="R801" t="str">
        <f t="shared" si="70"/>
        <v>12_52___06/29/2023_2023_MonMon_CRC_TR_PW_Lys_B_10_Nutri</v>
      </c>
    </row>
    <row r="802" spans="1:18" x14ac:dyDescent="0.25">
      <c r="A802">
        <v>12</v>
      </c>
      <c r="B802">
        <v>53</v>
      </c>
      <c r="E802" s="1">
        <v>45106</v>
      </c>
      <c r="F802" s="11">
        <f t="shared" si="69"/>
        <v>45106</v>
      </c>
      <c r="G802">
        <f t="shared" si="71"/>
        <v>2023</v>
      </c>
      <c r="H802">
        <f t="shared" si="72"/>
        <v>6</v>
      </c>
      <c r="I802">
        <f t="shared" si="68"/>
        <v>29</v>
      </c>
      <c r="J802" t="s">
        <v>10</v>
      </c>
      <c r="K802" t="s">
        <v>16</v>
      </c>
      <c r="L802" t="s">
        <v>14</v>
      </c>
      <c r="M802" t="s">
        <v>11</v>
      </c>
      <c r="N802" t="s">
        <v>15</v>
      </c>
      <c r="O802" t="s">
        <v>24</v>
      </c>
      <c r="P802">
        <v>20</v>
      </c>
      <c r="Q802" t="s">
        <v>50</v>
      </c>
      <c r="R802" t="str">
        <f t="shared" si="70"/>
        <v>12_53___06/29/2023_2023_MonMon_CRC_TR_PW_Lys_B_20_Nutri</v>
      </c>
    </row>
    <row r="803" spans="1:18" x14ac:dyDescent="0.25">
      <c r="A803">
        <v>12</v>
      </c>
      <c r="B803">
        <v>54</v>
      </c>
      <c r="E803" s="1">
        <v>45106</v>
      </c>
      <c r="F803" s="11">
        <f t="shared" si="69"/>
        <v>45106</v>
      </c>
      <c r="G803">
        <f t="shared" si="71"/>
        <v>2023</v>
      </c>
      <c r="H803">
        <f t="shared" si="72"/>
        <v>6</v>
      </c>
      <c r="I803">
        <f t="shared" si="68"/>
        <v>29</v>
      </c>
      <c r="J803" t="s">
        <v>10</v>
      </c>
      <c r="K803" t="s">
        <v>16</v>
      </c>
      <c r="L803" t="s">
        <v>14</v>
      </c>
      <c r="M803" t="s">
        <v>11</v>
      </c>
      <c r="N803" t="s">
        <v>15</v>
      </c>
      <c r="O803" t="s">
        <v>24</v>
      </c>
      <c r="P803">
        <v>45</v>
      </c>
      <c r="Q803" t="s">
        <v>50</v>
      </c>
      <c r="R803" t="str">
        <f t="shared" si="70"/>
        <v>12_54___06/29/2023_2023_MonMon_CRC_TR_PW_Lys_B_45_Nutri</v>
      </c>
    </row>
    <row r="804" spans="1:18" x14ac:dyDescent="0.25">
      <c r="A804">
        <v>12</v>
      </c>
      <c r="B804">
        <v>55</v>
      </c>
      <c r="E804" s="1">
        <v>45106</v>
      </c>
      <c r="F804" s="11">
        <f t="shared" si="69"/>
        <v>45106</v>
      </c>
      <c r="G804">
        <f t="shared" si="71"/>
        <v>2023</v>
      </c>
      <c r="H804">
        <f t="shared" si="72"/>
        <v>6</v>
      </c>
      <c r="I804">
        <f t="shared" si="68"/>
        <v>29</v>
      </c>
      <c r="J804" t="s">
        <v>10</v>
      </c>
      <c r="K804" t="s">
        <v>16</v>
      </c>
      <c r="L804" t="s">
        <v>14</v>
      </c>
      <c r="M804" t="s">
        <v>11</v>
      </c>
      <c r="N804" t="s">
        <v>15</v>
      </c>
      <c r="O804" t="s">
        <v>25</v>
      </c>
      <c r="P804">
        <v>10</v>
      </c>
      <c r="Q804" t="s">
        <v>50</v>
      </c>
      <c r="R804" t="str">
        <f t="shared" si="70"/>
        <v>12_55___06/29/2023_2023_MonMon_CRC_TR_PW_Lys_C_10_Nutri</v>
      </c>
    </row>
    <row r="805" spans="1:18" x14ac:dyDescent="0.25">
      <c r="A805">
        <v>12</v>
      </c>
      <c r="B805">
        <v>56</v>
      </c>
      <c r="E805" s="1">
        <v>45106</v>
      </c>
      <c r="F805" s="11">
        <f t="shared" si="69"/>
        <v>45106</v>
      </c>
      <c r="G805">
        <f t="shared" si="71"/>
        <v>2023</v>
      </c>
      <c r="H805">
        <f t="shared" si="72"/>
        <v>6</v>
      </c>
      <c r="I805">
        <f t="shared" si="68"/>
        <v>29</v>
      </c>
      <c r="J805" t="s">
        <v>10</v>
      </c>
      <c r="K805" t="s">
        <v>16</v>
      </c>
      <c r="L805" t="s">
        <v>14</v>
      </c>
      <c r="M805" t="s">
        <v>11</v>
      </c>
      <c r="N805" t="s">
        <v>15</v>
      </c>
      <c r="O805" t="s">
        <v>25</v>
      </c>
      <c r="P805">
        <v>20</v>
      </c>
      <c r="Q805" t="s">
        <v>50</v>
      </c>
      <c r="R805" t="str">
        <f t="shared" si="70"/>
        <v>12_56___06/29/2023_2023_MonMon_CRC_TR_PW_Lys_C_20_Nutri</v>
      </c>
    </row>
    <row r="806" spans="1:18" x14ac:dyDescent="0.25">
      <c r="A806">
        <v>12</v>
      </c>
      <c r="B806">
        <v>57</v>
      </c>
      <c r="E806" s="1">
        <v>45106</v>
      </c>
      <c r="F806" s="11">
        <f t="shared" si="69"/>
        <v>45106</v>
      </c>
      <c r="G806">
        <f t="shared" si="71"/>
        <v>2023</v>
      </c>
      <c r="H806">
        <f t="shared" si="72"/>
        <v>6</v>
      </c>
      <c r="I806">
        <f t="shared" si="68"/>
        <v>29</v>
      </c>
      <c r="J806" t="s">
        <v>10</v>
      </c>
      <c r="K806" t="s">
        <v>16</v>
      </c>
      <c r="L806" t="s">
        <v>14</v>
      </c>
      <c r="M806" t="s">
        <v>11</v>
      </c>
      <c r="N806" t="s">
        <v>15</v>
      </c>
      <c r="O806" t="s">
        <v>25</v>
      </c>
      <c r="P806">
        <v>45</v>
      </c>
      <c r="Q806" t="s">
        <v>50</v>
      </c>
      <c r="R806" t="str">
        <f t="shared" si="70"/>
        <v>12_57___06/29/2023_2023_MonMon_CRC_TR_PW_Lys_C_45_Nutri</v>
      </c>
    </row>
    <row r="807" spans="1:18" s="6" customFormat="1" x14ac:dyDescent="0.25">
      <c r="A807" s="6">
        <v>12</v>
      </c>
      <c r="B807" s="6">
        <v>58</v>
      </c>
      <c r="E807" s="7">
        <v>45106</v>
      </c>
      <c r="F807" s="11">
        <f t="shared" si="69"/>
        <v>45106</v>
      </c>
      <c r="G807" s="6">
        <f t="shared" si="71"/>
        <v>2023</v>
      </c>
      <c r="H807" s="6">
        <f t="shared" si="72"/>
        <v>6</v>
      </c>
      <c r="I807" s="6">
        <f t="shared" si="68"/>
        <v>29</v>
      </c>
      <c r="J807" s="6" t="s">
        <v>10</v>
      </c>
      <c r="K807" s="6" t="s">
        <v>16</v>
      </c>
      <c r="L807" s="6" t="s">
        <v>28</v>
      </c>
      <c r="M807" s="6" t="s">
        <v>28</v>
      </c>
      <c r="O807" s="6" t="s">
        <v>23</v>
      </c>
      <c r="Q807" s="6" t="s">
        <v>50</v>
      </c>
      <c r="R807" t="str">
        <f t="shared" si="70"/>
        <v>12_58___06/29/2023_2023_MonMon_CRC_OW_OW__A__Nutri</v>
      </c>
    </row>
    <row r="808" spans="1:18" s="6" customFormat="1" x14ac:dyDescent="0.25">
      <c r="A808" s="6">
        <v>12</v>
      </c>
      <c r="B808" s="6">
        <v>59</v>
      </c>
      <c r="E808" s="7">
        <v>45106</v>
      </c>
      <c r="F808" s="11">
        <f t="shared" si="69"/>
        <v>45106</v>
      </c>
      <c r="G808" s="6">
        <f t="shared" si="71"/>
        <v>2023</v>
      </c>
      <c r="H808" s="6">
        <f t="shared" si="72"/>
        <v>6</v>
      </c>
      <c r="I808" s="6">
        <f t="shared" si="68"/>
        <v>29</v>
      </c>
      <c r="J808" s="6" t="s">
        <v>10</v>
      </c>
      <c r="K808" s="6" t="s">
        <v>16</v>
      </c>
      <c r="L808" s="6" t="s">
        <v>28</v>
      </c>
      <c r="M808" s="6" t="s">
        <v>28</v>
      </c>
      <c r="O808" s="6" t="s">
        <v>24</v>
      </c>
      <c r="Q808" s="6" t="s">
        <v>50</v>
      </c>
      <c r="R808" t="str">
        <f t="shared" si="70"/>
        <v>12_59___06/29/2023_2023_MonMon_CRC_OW_OW__B__Nutri</v>
      </c>
    </row>
    <row r="809" spans="1:18" s="6" customFormat="1" x14ac:dyDescent="0.25">
      <c r="A809" s="6">
        <v>12</v>
      </c>
      <c r="B809" s="6">
        <v>60</v>
      </c>
      <c r="E809" s="7">
        <v>45106</v>
      </c>
      <c r="F809" s="11">
        <f t="shared" si="69"/>
        <v>45106</v>
      </c>
      <c r="G809" s="6">
        <f t="shared" si="71"/>
        <v>2023</v>
      </c>
      <c r="H809" s="6">
        <f t="shared" si="72"/>
        <v>6</v>
      </c>
      <c r="I809" s="6">
        <f t="shared" si="68"/>
        <v>29</v>
      </c>
      <c r="J809" s="6" t="s">
        <v>10</v>
      </c>
      <c r="K809" s="6" t="s">
        <v>16</v>
      </c>
      <c r="L809" s="6" t="s">
        <v>28</v>
      </c>
      <c r="M809" s="6" t="s">
        <v>28</v>
      </c>
      <c r="O809" s="6" t="s">
        <v>25</v>
      </c>
      <c r="Q809" s="6" t="s">
        <v>50</v>
      </c>
      <c r="R809" t="str">
        <f t="shared" si="70"/>
        <v>12_60___06/29/2023_2023_MonMon_CRC_OW_OW__C__Nutri</v>
      </c>
    </row>
    <row r="810" spans="1:18" x14ac:dyDescent="0.25">
      <c r="A810">
        <v>12</v>
      </c>
      <c r="B810">
        <v>61</v>
      </c>
      <c r="E810" s="1">
        <v>45106</v>
      </c>
      <c r="F810" s="11">
        <f t="shared" si="69"/>
        <v>45106</v>
      </c>
      <c r="G810">
        <f t="shared" si="71"/>
        <v>2023</v>
      </c>
      <c r="H810">
        <f t="shared" si="72"/>
        <v>6</v>
      </c>
      <c r="I810">
        <f t="shared" si="68"/>
        <v>29</v>
      </c>
      <c r="J810" t="s">
        <v>10</v>
      </c>
      <c r="K810" t="s">
        <v>16</v>
      </c>
      <c r="L810" t="s">
        <v>14</v>
      </c>
      <c r="M810" t="s">
        <v>26</v>
      </c>
      <c r="N810" t="s">
        <v>38</v>
      </c>
      <c r="O810">
        <v>1</v>
      </c>
      <c r="Q810" t="s">
        <v>50</v>
      </c>
      <c r="R810" t="str">
        <f t="shared" si="70"/>
        <v>12_61___06/29/2023_2023_MonMon_CRC_TR_RZ_Rhz_1__Nutri</v>
      </c>
    </row>
    <row r="811" spans="1:18" x14ac:dyDescent="0.25">
      <c r="A811">
        <v>12</v>
      </c>
      <c r="B811">
        <v>62</v>
      </c>
      <c r="E811" s="1">
        <v>45106</v>
      </c>
      <c r="F811" s="11">
        <f t="shared" si="69"/>
        <v>45106</v>
      </c>
      <c r="G811">
        <f t="shared" si="71"/>
        <v>2023</v>
      </c>
      <c r="H811">
        <f t="shared" si="72"/>
        <v>6</v>
      </c>
      <c r="I811">
        <f t="shared" si="68"/>
        <v>29</v>
      </c>
      <c r="J811" t="s">
        <v>10</v>
      </c>
      <c r="K811" t="s">
        <v>16</v>
      </c>
      <c r="L811" t="s">
        <v>14</v>
      </c>
      <c r="M811" t="s">
        <v>26</v>
      </c>
      <c r="N811" t="s">
        <v>38</v>
      </c>
      <c r="O811">
        <v>2</v>
      </c>
      <c r="Q811" t="s">
        <v>50</v>
      </c>
      <c r="R811" t="str">
        <f t="shared" si="70"/>
        <v>12_62___06/29/2023_2023_MonMon_CRC_TR_RZ_Rhz_2__Nutri</v>
      </c>
    </row>
    <row r="812" spans="1:18" x14ac:dyDescent="0.25">
      <c r="A812">
        <v>12</v>
      </c>
      <c r="B812">
        <v>63</v>
      </c>
      <c r="E812" s="1">
        <v>45106</v>
      </c>
      <c r="F812" s="11">
        <f t="shared" si="69"/>
        <v>45106</v>
      </c>
      <c r="G812">
        <f t="shared" si="71"/>
        <v>2023</v>
      </c>
      <c r="H812">
        <f t="shared" si="72"/>
        <v>6</v>
      </c>
      <c r="I812">
        <f t="shared" si="68"/>
        <v>29</v>
      </c>
      <c r="J812" t="s">
        <v>10</v>
      </c>
      <c r="K812" t="s">
        <v>16</v>
      </c>
      <c r="L812" t="s">
        <v>14</v>
      </c>
      <c r="M812" t="s">
        <v>26</v>
      </c>
      <c r="N812" t="s">
        <v>38</v>
      </c>
      <c r="O812">
        <v>3</v>
      </c>
      <c r="Q812" t="s">
        <v>50</v>
      </c>
      <c r="R812" t="str">
        <f t="shared" si="70"/>
        <v>12_63___06/29/2023_2023_MonMon_CRC_TR_RZ_Rhz_3__Nutri</v>
      </c>
    </row>
    <row r="813" spans="1:18" x14ac:dyDescent="0.25">
      <c r="A813">
        <v>12</v>
      </c>
      <c r="B813">
        <v>64</v>
      </c>
      <c r="E813" s="1">
        <v>45106</v>
      </c>
      <c r="F813" s="11">
        <f t="shared" si="69"/>
        <v>45106</v>
      </c>
      <c r="G813">
        <f t="shared" si="71"/>
        <v>2023</v>
      </c>
      <c r="H813">
        <f t="shared" si="72"/>
        <v>6</v>
      </c>
      <c r="I813">
        <f t="shared" si="68"/>
        <v>29</v>
      </c>
      <c r="J813" t="s">
        <v>10</v>
      </c>
      <c r="K813" t="s">
        <v>16</v>
      </c>
      <c r="L813" t="s">
        <v>14</v>
      </c>
      <c r="M813" t="s">
        <v>26</v>
      </c>
      <c r="N813" t="s">
        <v>38</v>
      </c>
      <c r="O813">
        <v>4</v>
      </c>
      <c r="Q813" t="s">
        <v>50</v>
      </c>
      <c r="R813" t="str">
        <f t="shared" si="70"/>
        <v>12_64___06/29/2023_2023_MonMon_CRC_TR_RZ_Rhz_4__Nutri</v>
      </c>
    </row>
    <row r="814" spans="1:18" x14ac:dyDescent="0.25">
      <c r="A814">
        <v>12</v>
      </c>
      <c r="B814">
        <v>65</v>
      </c>
      <c r="E814" s="1">
        <v>45106</v>
      </c>
      <c r="F814" s="11">
        <f t="shared" si="69"/>
        <v>45106</v>
      </c>
      <c r="G814">
        <f t="shared" si="71"/>
        <v>2023</v>
      </c>
      <c r="H814">
        <f t="shared" si="72"/>
        <v>6</v>
      </c>
      <c r="I814">
        <f t="shared" si="68"/>
        <v>29</v>
      </c>
      <c r="J814" t="s">
        <v>10</v>
      </c>
      <c r="K814" t="s">
        <v>16</v>
      </c>
      <c r="L814" t="s">
        <v>14</v>
      </c>
      <c r="M814" t="s">
        <v>26</v>
      </c>
      <c r="N814" t="s">
        <v>38</v>
      </c>
      <c r="O814">
        <v>5</v>
      </c>
      <c r="Q814" t="s">
        <v>50</v>
      </c>
      <c r="R814" t="str">
        <f t="shared" si="70"/>
        <v>12_65___06/29/2023_2023_MonMon_CRC_TR_RZ_Rhz_5__Nutri</v>
      </c>
    </row>
    <row r="815" spans="1:18" x14ac:dyDescent="0.25">
      <c r="A815">
        <v>12</v>
      </c>
      <c r="B815">
        <v>66</v>
      </c>
      <c r="E815" s="1">
        <v>45106</v>
      </c>
      <c r="F815" s="11">
        <f t="shared" si="69"/>
        <v>45106</v>
      </c>
      <c r="G815">
        <f t="shared" si="71"/>
        <v>2023</v>
      </c>
      <c r="H815">
        <f t="shared" si="72"/>
        <v>6</v>
      </c>
      <c r="I815">
        <f t="shared" si="68"/>
        <v>29</v>
      </c>
      <c r="J815" t="s">
        <v>10</v>
      </c>
      <c r="K815" t="s">
        <v>16</v>
      </c>
      <c r="L815" t="s">
        <v>14</v>
      </c>
      <c r="M815" t="s">
        <v>26</v>
      </c>
      <c r="N815" t="s">
        <v>38</v>
      </c>
      <c r="O815">
        <v>6</v>
      </c>
      <c r="Q815" t="s">
        <v>50</v>
      </c>
      <c r="R815" t="str">
        <f t="shared" si="70"/>
        <v>12_66___06/29/2023_2023_MonMon_CRC_TR_RZ_Rhz_6__Nutri</v>
      </c>
    </row>
    <row r="816" spans="1:18" x14ac:dyDescent="0.25">
      <c r="A816">
        <v>12</v>
      </c>
      <c r="B816">
        <v>67</v>
      </c>
      <c r="E816" s="1">
        <v>45106</v>
      </c>
      <c r="F816" s="11">
        <f t="shared" si="69"/>
        <v>45106</v>
      </c>
      <c r="G816">
        <f t="shared" si="71"/>
        <v>2023</v>
      </c>
      <c r="H816">
        <f t="shared" si="72"/>
        <v>6</v>
      </c>
      <c r="I816">
        <f t="shared" si="68"/>
        <v>29</v>
      </c>
      <c r="J816" t="s">
        <v>10</v>
      </c>
      <c r="K816" t="s">
        <v>16</v>
      </c>
      <c r="L816" t="s">
        <v>14</v>
      </c>
      <c r="M816" t="s">
        <v>26</v>
      </c>
      <c r="N816" t="s">
        <v>38</v>
      </c>
      <c r="O816">
        <v>7</v>
      </c>
      <c r="Q816" t="s">
        <v>50</v>
      </c>
      <c r="R816" t="str">
        <f t="shared" si="70"/>
        <v>12_67___06/29/2023_2023_MonMon_CRC_TR_RZ_Rhz_7__Nutri</v>
      </c>
    </row>
    <row r="817" spans="1:18" x14ac:dyDescent="0.25">
      <c r="A817">
        <v>12</v>
      </c>
      <c r="B817">
        <v>68</v>
      </c>
      <c r="E817" s="1">
        <v>45106</v>
      </c>
      <c r="F817" s="11">
        <f t="shared" si="69"/>
        <v>45106</v>
      </c>
      <c r="G817">
        <f t="shared" si="71"/>
        <v>2023</v>
      </c>
      <c r="H817">
        <f t="shared" si="72"/>
        <v>6</v>
      </c>
      <c r="I817">
        <f t="shared" si="68"/>
        <v>29</v>
      </c>
      <c r="J817" t="s">
        <v>10</v>
      </c>
      <c r="K817" t="s">
        <v>16</v>
      </c>
      <c r="L817" t="s">
        <v>14</v>
      </c>
      <c r="M817" t="s">
        <v>26</v>
      </c>
      <c r="N817" t="s">
        <v>38</v>
      </c>
      <c r="O817">
        <v>8</v>
      </c>
      <c r="Q817" t="s">
        <v>50</v>
      </c>
      <c r="R817" t="str">
        <f t="shared" si="70"/>
        <v>12_68___06/29/2023_2023_MonMon_CRC_TR_RZ_Rhz_8__Nutri</v>
      </c>
    </row>
    <row r="818" spans="1:18" x14ac:dyDescent="0.25">
      <c r="A818">
        <v>12</v>
      </c>
      <c r="B818">
        <v>69</v>
      </c>
      <c r="E818" s="1">
        <v>45106</v>
      </c>
      <c r="F818" s="11">
        <f t="shared" si="69"/>
        <v>45106</v>
      </c>
      <c r="G818">
        <f t="shared" si="71"/>
        <v>2023</v>
      </c>
      <c r="H818">
        <f t="shared" si="72"/>
        <v>6</v>
      </c>
      <c r="I818">
        <f t="shared" si="68"/>
        <v>29</v>
      </c>
      <c r="J818" t="s">
        <v>10</v>
      </c>
      <c r="K818" t="s">
        <v>16</v>
      </c>
      <c r="L818" t="s">
        <v>17</v>
      </c>
      <c r="M818" t="s">
        <v>26</v>
      </c>
      <c r="N818" t="s">
        <v>38</v>
      </c>
      <c r="O818">
        <v>1</v>
      </c>
      <c r="Q818" t="s">
        <v>50</v>
      </c>
      <c r="R818" t="str">
        <f t="shared" si="70"/>
        <v>12_69___06/29/2023_2023_MonMon_CRC_UP_RZ_Rhz_1__Nutri</v>
      </c>
    </row>
    <row r="819" spans="1:18" x14ac:dyDescent="0.25">
      <c r="A819">
        <v>12</v>
      </c>
      <c r="B819">
        <v>70</v>
      </c>
      <c r="E819" s="1">
        <v>45106</v>
      </c>
      <c r="F819" s="11">
        <f t="shared" si="69"/>
        <v>45106</v>
      </c>
      <c r="G819">
        <f t="shared" si="71"/>
        <v>2023</v>
      </c>
      <c r="H819">
        <f t="shared" si="72"/>
        <v>6</v>
      </c>
      <c r="I819">
        <f t="shared" si="68"/>
        <v>29</v>
      </c>
      <c r="J819" t="s">
        <v>10</v>
      </c>
      <c r="K819" t="s">
        <v>16</v>
      </c>
      <c r="L819" t="s">
        <v>17</v>
      </c>
      <c r="M819" t="s">
        <v>26</v>
      </c>
      <c r="N819" t="s">
        <v>38</v>
      </c>
      <c r="O819">
        <v>8</v>
      </c>
      <c r="Q819" t="s">
        <v>50</v>
      </c>
      <c r="R819" t="str">
        <f t="shared" si="70"/>
        <v>12_70___06/29/2023_2023_MonMon_CRC_UP_RZ_Rhz_8__Nutri</v>
      </c>
    </row>
    <row r="820" spans="1:18" x14ac:dyDescent="0.25">
      <c r="A820">
        <v>12</v>
      </c>
      <c r="B820">
        <v>71</v>
      </c>
      <c r="E820" s="1">
        <v>45120</v>
      </c>
      <c r="F820" s="11">
        <f t="shared" si="69"/>
        <v>45120</v>
      </c>
      <c r="G820">
        <f t="shared" ref="G820:G821" si="73">YEAR(E820)</f>
        <v>2023</v>
      </c>
      <c r="H820">
        <f t="shared" ref="H820:H821" si="74">MONTH(E820)</f>
        <v>7</v>
      </c>
      <c r="I820">
        <f t="shared" ref="I820:I821" si="75">DAY(E820)</f>
        <v>13</v>
      </c>
      <c r="J820" t="s">
        <v>10</v>
      </c>
      <c r="K820" t="s">
        <v>16</v>
      </c>
      <c r="L820" t="s">
        <v>9</v>
      </c>
      <c r="M820" t="s">
        <v>11</v>
      </c>
      <c r="N820" t="s">
        <v>27</v>
      </c>
      <c r="O820" t="s">
        <v>23</v>
      </c>
      <c r="P820">
        <v>10</v>
      </c>
      <c r="Q820" t="s">
        <v>50</v>
      </c>
      <c r="R820" t="str">
        <f t="shared" si="70"/>
        <v>12_71___07/13/2023_2023_MonMon_CRC_W_PW_Sip_A_10_Nutri</v>
      </c>
    </row>
    <row r="821" spans="1:18" x14ac:dyDescent="0.25">
      <c r="A821">
        <v>12</v>
      </c>
      <c r="B821">
        <v>72</v>
      </c>
      <c r="E821" s="1">
        <v>45120</v>
      </c>
      <c r="F821" s="11">
        <f t="shared" si="69"/>
        <v>45120</v>
      </c>
      <c r="G821">
        <f t="shared" si="73"/>
        <v>2023</v>
      </c>
      <c r="H821">
        <f t="shared" si="74"/>
        <v>7</v>
      </c>
      <c r="I821">
        <f t="shared" si="75"/>
        <v>13</v>
      </c>
      <c r="J821" t="s">
        <v>10</v>
      </c>
      <c r="K821" t="s">
        <v>16</v>
      </c>
      <c r="L821" t="s">
        <v>9</v>
      </c>
      <c r="M821" t="s">
        <v>11</v>
      </c>
      <c r="N821" t="s">
        <v>27</v>
      </c>
      <c r="O821" t="s">
        <v>23</v>
      </c>
      <c r="P821">
        <v>20</v>
      </c>
      <c r="Q821" t="s">
        <v>50</v>
      </c>
      <c r="R821" t="str">
        <f t="shared" si="70"/>
        <v>12_72___07/13/2023_2023_MonMon_CRC_W_PW_Sip_A_20_Nutri</v>
      </c>
    </row>
    <row r="822" spans="1:18" x14ac:dyDescent="0.25">
      <c r="A822">
        <v>12</v>
      </c>
      <c r="B822">
        <v>73</v>
      </c>
      <c r="E822" s="1">
        <v>45120</v>
      </c>
      <c r="F822" s="11">
        <f t="shared" si="69"/>
        <v>45120</v>
      </c>
      <c r="G822">
        <f t="shared" ref="G822:G856" si="76">YEAR(E822)</f>
        <v>2023</v>
      </c>
      <c r="H822">
        <f t="shared" ref="H822:H856" si="77">MONTH(E822)</f>
        <v>7</v>
      </c>
      <c r="I822">
        <f t="shared" ref="I822:I856" si="78">DAY(E822)</f>
        <v>13</v>
      </c>
      <c r="J822" t="s">
        <v>10</v>
      </c>
      <c r="K822" t="s">
        <v>16</v>
      </c>
      <c r="L822" t="s">
        <v>9</v>
      </c>
      <c r="M822" t="s">
        <v>11</v>
      </c>
      <c r="N822" t="s">
        <v>27</v>
      </c>
      <c r="O822" t="s">
        <v>23</v>
      </c>
      <c r="P822">
        <v>45</v>
      </c>
      <c r="Q822" t="s">
        <v>50</v>
      </c>
      <c r="R822" t="str">
        <f t="shared" si="70"/>
        <v>12_73___07/13/2023_2023_MonMon_CRC_W_PW_Sip_A_45_Nutri</v>
      </c>
    </row>
    <row r="823" spans="1:18" x14ac:dyDescent="0.25">
      <c r="A823">
        <v>12</v>
      </c>
      <c r="B823">
        <v>74</v>
      </c>
      <c r="E823" s="1">
        <v>45120</v>
      </c>
      <c r="F823" s="11">
        <f t="shared" si="69"/>
        <v>45120</v>
      </c>
      <c r="G823">
        <f t="shared" si="76"/>
        <v>2023</v>
      </c>
      <c r="H823">
        <f t="shared" si="77"/>
        <v>7</v>
      </c>
      <c r="I823">
        <f t="shared" si="78"/>
        <v>13</v>
      </c>
      <c r="J823" t="s">
        <v>10</v>
      </c>
      <c r="K823" t="s">
        <v>16</v>
      </c>
      <c r="L823" t="s">
        <v>9</v>
      </c>
      <c r="M823" t="s">
        <v>11</v>
      </c>
      <c r="N823" t="s">
        <v>27</v>
      </c>
      <c r="O823" t="s">
        <v>24</v>
      </c>
      <c r="P823">
        <v>10</v>
      </c>
      <c r="Q823" t="s">
        <v>50</v>
      </c>
      <c r="R823" t="str">
        <f t="shared" si="70"/>
        <v>12_74___07/13/2023_2023_MonMon_CRC_W_PW_Sip_B_10_Nutri</v>
      </c>
    </row>
    <row r="824" spans="1:18" x14ac:dyDescent="0.25">
      <c r="A824">
        <v>12</v>
      </c>
      <c r="B824">
        <v>75</v>
      </c>
      <c r="E824" s="1">
        <v>45120</v>
      </c>
      <c r="F824" s="11">
        <f t="shared" si="69"/>
        <v>45120</v>
      </c>
      <c r="G824">
        <f t="shared" si="76"/>
        <v>2023</v>
      </c>
      <c r="H824">
        <f t="shared" si="77"/>
        <v>7</v>
      </c>
      <c r="I824">
        <f t="shared" si="78"/>
        <v>13</v>
      </c>
      <c r="J824" t="s">
        <v>10</v>
      </c>
      <c r="K824" t="s">
        <v>16</v>
      </c>
      <c r="L824" t="s">
        <v>9</v>
      </c>
      <c r="M824" t="s">
        <v>11</v>
      </c>
      <c r="N824" t="s">
        <v>27</v>
      </c>
      <c r="O824" t="s">
        <v>24</v>
      </c>
      <c r="P824">
        <v>20</v>
      </c>
      <c r="Q824" t="s">
        <v>50</v>
      </c>
      <c r="R824" t="str">
        <f t="shared" si="70"/>
        <v>12_75___07/13/2023_2023_MonMon_CRC_W_PW_Sip_B_20_Nutri</v>
      </c>
    </row>
    <row r="825" spans="1:18" x14ac:dyDescent="0.25">
      <c r="A825">
        <v>12</v>
      </c>
      <c r="B825">
        <v>76</v>
      </c>
      <c r="E825" s="1">
        <v>45120</v>
      </c>
      <c r="F825" s="11">
        <f t="shared" si="69"/>
        <v>45120</v>
      </c>
      <c r="G825">
        <f t="shared" si="76"/>
        <v>2023</v>
      </c>
      <c r="H825">
        <f t="shared" si="77"/>
        <v>7</v>
      </c>
      <c r="I825">
        <f t="shared" si="78"/>
        <v>13</v>
      </c>
      <c r="J825" t="s">
        <v>10</v>
      </c>
      <c r="K825" t="s">
        <v>16</v>
      </c>
      <c r="L825" t="s">
        <v>9</v>
      </c>
      <c r="M825" t="s">
        <v>11</v>
      </c>
      <c r="N825" t="s">
        <v>27</v>
      </c>
      <c r="O825" t="s">
        <v>24</v>
      </c>
      <c r="P825">
        <v>45</v>
      </c>
      <c r="Q825" t="s">
        <v>50</v>
      </c>
      <c r="R825" t="str">
        <f t="shared" si="70"/>
        <v>12_76___07/13/2023_2023_MonMon_CRC_W_PW_Sip_B_45_Nutri</v>
      </c>
    </row>
    <row r="826" spans="1:18" x14ac:dyDescent="0.25">
      <c r="A826">
        <v>12</v>
      </c>
      <c r="B826">
        <v>77</v>
      </c>
      <c r="E826" s="1">
        <v>45120</v>
      </c>
      <c r="F826" s="11">
        <f t="shared" si="69"/>
        <v>45120</v>
      </c>
      <c r="G826">
        <f t="shared" si="76"/>
        <v>2023</v>
      </c>
      <c r="H826">
        <f t="shared" si="77"/>
        <v>7</v>
      </c>
      <c r="I826">
        <f t="shared" si="78"/>
        <v>13</v>
      </c>
      <c r="J826" t="s">
        <v>10</v>
      </c>
      <c r="K826" t="s">
        <v>16</v>
      </c>
      <c r="L826" t="s">
        <v>9</v>
      </c>
      <c r="M826" t="s">
        <v>11</v>
      </c>
      <c r="N826" t="s">
        <v>27</v>
      </c>
      <c r="O826" t="s">
        <v>25</v>
      </c>
      <c r="P826">
        <v>10</v>
      </c>
      <c r="Q826" t="s">
        <v>50</v>
      </c>
      <c r="R826" t="str">
        <f t="shared" si="70"/>
        <v>12_77___07/13/2023_2023_MonMon_CRC_W_PW_Sip_C_10_Nutri</v>
      </c>
    </row>
    <row r="827" spans="1:18" x14ac:dyDescent="0.25">
      <c r="A827">
        <v>12</v>
      </c>
      <c r="B827">
        <v>78</v>
      </c>
      <c r="E827" s="1">
        <v>45120</v>
      </c>
      <c r="F827" s="11">
        <f t="shared" si="69"/>
        <v>45120</v>
      </c>
      <c r="G827">
        <f t="shared" si="76"/>
        <v>2023</v>
      </c>
      <c r="H827">
        <f t="shared" si="77"/>
        <v>7</v>
      </c>
      <c r="I827">
        <f t="shared" si="78"/>
        <v>13</v>
      </c>
      <c r="J827" t="s">
        <v>10</v>
      </c>
      <c r="K827" t="s">
        <v>16</v>
      </c>
      <c r="L827" t="s">
        <v>9</v>
      </c>
      <c r="M827" t="s">
        <v>11</v>
      </c>
      <c r="N827" t="s">
        <v>27</v>
      </c>
      <c r="O827" t="s">
        <v>25</v>
      </c>
      <c r="P827">
        <v>20</v>
      </c>
      <c r="Q827" t="s">
        <v>50</v>
      </c>
      <c r="R827" t="str">
        <f t="shared" si="70"/>
        <v>12_78___07/13/2023_2023_MonMon_CRC_W_PW_Sip_C_20_Nutri</v>
      </c>
    </row>
    <row r="828" spans="1:18" x14ac:dyDescent="0.25">
      <c r="A828">
        <v>12</v>
      </c>
      <c r="B828">
        <v>79</v>
      </c>
      <c r="E828" s="1">
        <v>45120</v>
      </c>
      <c r="F828" s="11">
        <f t="shared" si="69"/>
        <v>45120</v>
      </c>
      <c r="G828">
        <f t="shared" si="76"/>
        <v>2023</v>
      </c>
      <c r="H828">
        <f t="shared" si="77"/>
        <v>7</v>
      </c>
      <c r="I828">
        <f t="shared" si="78"/>
        <v>13</v>
      </c>
      <c r="J828" t="s">
        <v>10</v>
      </c>
      <c r="K828" t="s">
        <v>16</v>
      </c>
      <c r="L828" t="s">
        <v>9</v>
      </c>
      <c r="M828" t="s">
        <v>11</v>
      </c>
      <c r="N828" t="s">
        <v>27</v>
      </c>
      <c r="O828" t="s">
        <v>25</v>
      </c>
      <c r="P828">
        <v>45</v>
      </c>
      <c r="Q828" t="s">
        <v>50</v>
      </c>
      <c r="R828" t="str">
        <f t="shared" si="70"/>
        <v>12_79___07/13/2023_2023_MonMon_CRC_W_PW_Sip_C_45_Nutri</v>
      </c>
    </row>
    <row r="829" spans="1:18" x14ac:dyDescent="0.25">
      <c r="A829">
        <v>12</v>
      </c>
      <c r="B829">
        <v>80</v>
      </c>
      <c r="E829" s="1">
        <v>45120</v>
      </c>
      <c r="F829" s="11">
        <f t="shared" si="69"/>
        <v>45120</v>
      </c>
      <c r="G829">
        <f t="shared" si="76"/>
        <v>2023</v>
      </c>
      <c r="H829">
        <f t="shared" si="77"/>
        <v>7</v>
      </c>
      <c r="I829">
        <f t="shared" si="78"/>
        <v>13</v>
      </c>
      <c r="J829" t="s">
        <v>10</v>
      </c>
      <c r="K829" t="s">
        <v>16</v>
      </c>
      <c r="L829" t="s">
        <v>14</v>
      </c>
      <c r="M829" t="s">
        <v>11</v>
      </c>
      <c r="N829" t="s">
        <v>15</v>
      </c>
      <c r="O829" t="s">
        <v>23</v>
      </c>
      <c r="P829">
        <v>10</v>
      </c>
      <c r="Q829" t="s">
        <v>50</v>
      </c>
      <c r="R829" t="str">
        <f t="shared" si="70"/>
        <v>12_80___07/13/2023_2023_MonMon_CRC_TR_PW_Lys_A_10_Nutri</v>
      </c>
    </row>
    <row r="830" spans="1:18" x14ac:dyDescent="0.25">
      <c r="A830">
        <v>12</v>
      </c>
      <c r="B830">
        <v>81</v>
      </c>
      <c r="E830" s="1">
        <v>45120</v>
      </c>
      <c r="F830" s="11">
        <f t="shared" si="69"/>
        <v>45120</v>
      </c>
      <c r="G830">
        <f t="shared" si="76"/>
        <v>2023</v>
      </c>
      <c r="H830">
        <f t="shared" si="77"/>
        <v>7</v>
      </c>
      <c r="I830">
        <f t="shared" si="78"/>
        <v>13</v>
      </c>
      <c r="J830" t="s">
        <v>10</v>
      </c>
      <c r="K830" t="s">
        <v>16</v>
      </c>
      <c r="L830" t="s">
        <v>14</v>
      </c>
      <c r="M830" t="s">
        <v>11</v>
      </c>
      <c r="N830" t="s">
        <v>15</v>
      </c>
      <c r="O830" t="s">
        <v>23</v>
      </c>
      <c r="P830">
        <v>20</v>
      </c>
      <c r="Q830" t="s">
        <v>50</v>
      </c>
      <c r="R830" t="str">
        <f t="shared" si="70"/>
        <v>12_81___07/13/2023_2023_MonMon_CRC_TR_PW_Lys_A_20_Nutri</v>
      </c>
    </row>
    <row r="831" spans="1:18" x14ac:dyDescent="0.25">
      <c r="A831">
        <v>12</v>
      </c>
      <c r="B831">
        <v>82</v>
      </c>
      <c r="E831" s="1">
        <v>45120</v>
      </c>
      <c r="F831" s="11">
        <f t="shared" si="69"/>
        <v>45120</v>
      </c>
      <c r="G831">
        <f t="shared" si="76"/>
        <v>2023</v>
      </c>
      <c r="H831">
        <f t="shared" si="77"/>
        <v>7</v>
      </c>
      <c r="I831">
        <f t="shared" si="78"/>
        <v>13</v>
      </c>
      <c r="J831" t="s">
        <v>10</v>
      </c>
      <c r="K831" t="s">
        <v>16</v>
      </c>
      <c r="L831" t="s">
        <v>14</v>
      </c>
      <c r="M831" t="s">
        <v>11</v>
      </c>
      <c r="N831" t="s">
        <v>15</v>
      </c>
      <c r="O831" t="s">
        <v>23</v>
      </c>
      <c r="P831">
        <v>45</v>
      </c>
      <c r="Q831" t="s">
        <v>50</v>
      </c>
      <c r="R831" t="str">
        <f t="shared" si="70"/>
        <v>12_82___07/13/2023_2023_MonMon_CRC_TR_PW_Lys_A_45_Nutri</v>
      </c>
    </row>
    <row r="832" spans="1:18" x14ac:dyDescent="0.25">
      <c r="A832">
        <v>12</v>
      </c>
      <c r="B832">
        <v>83</v>
      </c>
      <c r="E832" s="1">
        <v>45120</v>
      </c>
      <c r="F832" s="11">
        <f t="shared" si="69"/>
        <v>45120</v>
      </c>
      <c r="G832">
        <f t="shared" si="76"/>
        <v>2023</v>
      </c>
      <c r="H832">
        <f t="shared" si="77"/>
        <v>7</v>
      </c>
      <c r="I832">
        <f t="shared" si="78"/>
        <v>13</v>
      </c>
      <c r="J832" t="s">
        <v>10</v>
      </c>
      <c r="K832" t="s">
        <v>16</v>
      </c>
      <c r="L832" t="s">
        <v>14</v>
      </c>
      <c r="M832" t="s">
        <v>11</v>
      </c>
      <c r="N832" t="s">
        <v>15</v>
      </c>
      <c r="O832" t="s">
        <v>24</v>
      </c>
      <c r="P832">
        <v>10</v>
      </c>
      <c r="Q832" t="s">
        <v>50</v>
      </c>
      <c r="R832" t="str">
        <f t="shared" si="70"/>
        <v>12_83___07/13/2023_2023_MonMon_CRC_TR_PW_Lys_B_10_Nutri</v>
      </c>
    </row>
    <row r="833" spans="1:18" x14ac:dyDescent="0.25">
      <c r="A833">
        <v>12</v>
      </c>
      <c r="B833">
        <v>84</v>
      </c>
      <c r="E833" s="1">
        <v>45120</v>
      </c>
      <c r="F833" s="11">
        <f t="shared" si="69"/>
        <v>45120</v>
      </c>
      <c r="G833">
        <f t="shared" si="76"/>
        <v>2023</v>
      </c>
      <c r="H833">
        <f t="shared" si="77"/>
        <v>7</v>
      </c>
      <c r="I833">
        <f t="shared" si="78"/>
        <v>13</v>
      </c>
      <c r="J833" t="s">
        <v>10</v>
      </c>
      <c r="K833" t="s">
        <v>16</v>
      </c>
      <c r="L833" t="s">
        <v>14</v>
      </c>
      <c r="M833" t="s">
        <v>11</v>
      </c>
      <c r="N833" t="s">
        <v>15</v>
      </c>
      <c r="O833" t="s">
        <v>24</v>
      </c>
      <c r="P833">
        <v>20</v>
      </c>
      <c r="Q833" t="s">
        <v>50</v>
      </c>
      <c r="R833" t="str">
        <f t="shared" si="70"/>
        <v>12_84___07/13/2023_2023_MonMon_CRC_TR_PW_Lys_B_20_Nutri</v>
      </c>
    </row>
    <row r="834" spans="1:18" x14ac:dyDescent="0.25">
      <c r="A834">
        <v>12</v>
      </c>
      <c r="B834">
        <v>85</v>
      </c>
      <c r="E834" s="1">
        <v>45120</v>
      </c>
      <c r="F834" s="11">
        <f t="shared" si="69"/>
        <v>45120</v>
      </c>
      <c r="G834">
        <f t="shared" si="76"/>
        <v>2023</v>
      </c>
      <c r="H834">
        <f t="shared" si="77"/>
        <v>7</v>
      </c>
      <c r="I834">
        <f t="shared" si="78"/>
        <v>13</v>
      </c>
      <c r="J834" t="s">
        <v>10</v>
      </c>
      <c r="K834" t="s">
        <v>16</v>
      </c>
      <c r="L834" t="s">
        <v>14</v>
      </c>
      <c r="M834" t="s">
        <v>11</v>
      </c>
      <c r="N834" t="s">
        <v>15</v>
      </c>
      <c r="O834" t="s">
        <v>24</v>
      </c>
      <c r="P834">
        <v>45</v>
      </c>
      <c r="Q834" t="s">
        <v>50</v>
      </c>
      <c r="R834" t="str">
        <f t="shared" si="70"/>
        <v>12_85___07/13/2023_2023_MonMon_CRC_TR_PW_Lys_B_45_Nutri</v>
      </c>
    </row>
    <row r="835" spans="1:18" x14ac:dyDescent="0.25">
      <c r="A835">
        <v>12</v>
      </c>
      <c r="B835">
        <v>86</v>
      </c>
      <c r="E835" s="1">
        <v>45120</v>
      </c>
      <c r="F835" s="11">
        <f t="shared" ref="F835:F898" si="79">E835</f>
        <v>45120</v>
      </c>
      <c r="G835">
        <f t="shared" si="76"/>
        <v>2023</v>
      </c>
      <c r="H835">
        <f t="shared" si="77"/>
        <v>7</v>
      </c>
      <c r="I835">
        <f t="shared" si="78"/>
        <v>13</v>
      </c>
      <c r="J835" t="s">
        <v>10</v>
      </c>
      <c r="K835" t="s">
        <v>16</v>
      </c>
      <c r="L835" t="s">
        <v>14</v>
      </c>
      <c r="M835" t="s">
        <v>11</v>
      </c>
      <c r="N835" t="s">
        <v>15</v>
      </c>
      <c r="O835" t="s">
        <v>25</v>
      </c>
      <c r="P835">
        <v>10</v>
      </c>
      <c r="Q835" t="s">
        <v>50</v>
      </c>
      <c r="R835" t="str">
        <f t="shared" ref="R835:R898" si="80">CONCATENATE(A835,"_",B835,"_", C835,"_",D835,"_",TEXT(E835, "mm/dd/yyyy"),"_",G835,"_",J835,"_",K835,"_",L835,"_",M835,"_",N835,"_",O835,"_",P835,"_",Q835)</f>
        <v>12_86___07/13/2023_2023_MonMon_CRC_TR_PW_Lys_C_10_Nutri</v>
      </c>
    </row>
    <row r="836" spans="1:18" x14ac:dyDescent="0.25">
      <c r="A836">
        <v>12</v>
      </c>
      <c r="B836">
        <v>87</v>
      </c>
      <c r="E836" s="1">
        <v>45120</v>
      </c>
      <c r="F836" s="11">
        <f t="shared" si="79"/>
        <v>45120</v>
      </c>
      <c r="G836">
        <f t="shared" si="76"/>
        <v>2023</v>
      </c>
      <c r="H836">
        <f t="shared" si="77"/>
        <v>7</v>
      </c>
      <c r="I836">
        <f t="shared" si="78"/>
        <v>13</v>
      </c>
      <c r="J836" t="s">
        <v>10</v>
      </c>
      <c r="K836" t="s">
        <v>16</v>
      </c>
      <c r="L836" t="s">
        <v>14</v>
      </c>
      <c r="M836" t="s">
        <v>11</v>
      </c>
      <c r="N836" t="s">
        <v>15</v>
      </c>
      <c r="O836" t="s">
        <v>25</v>
      </c>
      <c r="P836">
        <v>20</v>
      </c>
      <c r="Q836" t="s">
        <v>50</v>
      </c>
      <c r="R836" t="str">
        <f t="shared" si="80"/>
        <v>12_87___07/13/2023_2023_MonMon_CRC_TR_PW_Lys_C_20_Nutri</v>
      </c>
    </row>
    <row r="837" spans="1:18" x14ac:dyDescent="0.25">
      <c r="A837">
        <v>12</v>
      </c>
      <c r="B837">
        <v>88</v>
      </c>
      <c r="E837" s="1">
        <v>45120</v>
      </c>
      <c r="F837" s="11">
        <f t="shared" si="79"/>
        <v>45120</v>
      </c>
      <c r="G837">
        <f t="shared" si="76"/>
        <v>2023</v>
      </c>
      <c r="H837">
        <f t="shared" si="77"/>
        <v>7</v>
      </c>
      <c r="I837">
        <f t="shared" si="78"/>
        <v>13</v>
      </c>
      <c r="J837" t="s">
        <v>10</v>
      </c>
      <c r="K837" t="s">
        <v>16</v>
      </c>
      <c r="L837" t="s">
        <v>14</v>
      </c>
      <c r="M837" t="s">
        <v>11</v>
      </c>
      <c r="N837" t="s">
        <v>15</v>
      </c>
      <c r="O837" t="s">
        <v>25</v>
      </c>
      <c r="P837">
        <v>45</v>
      </c>
      <c r="Q837" t="s">
        <v>50</v>
      </c>
      <c r="R837" t="str">
        <f t="shared" si="80"/>
        <v>12_88___07/13/2023_2023_MonMon_CRC_TR_PW_Lys_C_45_Nutri</v>
      </c>
    </row>
    <row r="838" spans="1:18" x14ac:dyDescent="0.25">
      <c r="A838">
        <v>12</v>
      </c>
      <c r="B838">
        <v>89</v>
      </c>
      <c r="E838" s="1">
        <v>45120</v>
      </c>
      <c r="F838" s="11">
        <f t="shared" si="79"/>
        <v>45120</v>
      </c>
      <c r="G838">
        <f t="shared" si="76"/>
        <v>2023</v>
      </c>
      <c r="H838">
        <f t="shared" si="77"/>
        <v>7</v>
      </c>
      <c r="I838">
        <f t="shared" si="78"/>
        <v>13</v>
      </c>
      <c r="J838" t="s">
        <v>10</v>
      </c>
      <c r="K838" t="s">
        <v>16</v>
      </c>
      <c r="L838" t="s">
        <v>14</v>
      </c>
      <c r="M838" t="s">
        <v>26</v>
      </c>
      <c r="N838" t="s">
        <v>18</v>
      </c>
      <c r="O838">
        <v>1</v>
      </c>
      <c r="Q838" t="s">
        <v>50</v>
      </c>
      <c r="R838" t="str">
        <f t="shared" si="80"/>
        <v>12_89___07/13/2023_2023_MonMon_CRC_TR_RZ_Rz_1__Nutri</v>
      </c>
    </row>
    <row r="839" spans="1:18" x14ac:dyDescent="0.25">
      <c r="A839">
        <v>12</v>
      </c>
      <c r="B839">
        <v>90</v>
      </c>
      <c r="E839" s="1">
        <v>45120</v>
      </c>
      <c r="F839" s="11">
        <f t="shared" si="79"/>
        <v>45120</v>
      </c>
      <c r="G839">
        <f t="shared" si="76"/>
        <v>2023</v>
      </c>
      <c r="H839">
        <f t="shared" si="77"/>
        <v>7</v>
      </c>
      <c r="I839">
        <f t="shared" si="78"/>
        <v>13</v>
      </c>
      <c r="J839" t="s">
        <v>10</v>
      </c>
      <c r="K839" t="s">
        <v>16</v>
      </c>
      <c r="L839" t="s">
        <v>14</v>
      </c>
      <c r="M839" t="s">
        <v>26</v>
      </c>
      <c r="N839" t="s">
        <v>18</v>
      </c>
      <c r="O839">
        <v>2</v>
      </c>
      <c r="Q839" t="s">
        <v>50</v>
      </c>
      <c r="R839" t="str">
        <f t="shared" si="80"/>
        <v>12_90___07/13/2023_2023_MonMon_CRC_TR_RZ_Rz_2__Nutri</v>
      </c>
    </row>
    <row r="840" spans="1:18" x14ac:dyDescent="0.25">
      <c r="A840">
        <v>12</v>
      </c>
      <c r="B840">
        <v>91</v>
      </c>
      <c r="E840" s="1">
        <v>45120</v>
      </c>
      <c r="F840" s="11">
        <f t="shared" si="79"/>
        <v>45120</v>
      </c>
      <c r="G840">
        <f t="shared" si="76"/>
        <v>2023</v>
      </c>
      <c r="H840">
        <f t="shared" si="77"/>
        <v>7</v>
      </c>
      <c r="I840">
        <f t="shared" si="78"/>
        <v>13</v>
      </c>
      <c r="J840" t="s">
        <v>10</v>
      </c>
      <c r="K840" t="s">
        <v>16</v>
      </c>
      <c r="L840" t="s">
        <v>14</v>
      </c>
      <c r="M840" t="s">
        <v>26</v>
      </c>
      <c r="N840" t="s">
        <v>18</v>
      </c>
      <c r="O840">
        <v>3</v>
      </c>
      <c r="Q840" t="s">
        <v>50</v>
      </c>
      <c r="R840" t="str">
        <f t="shared" si="80"/>
        <v>12_91___07/13/2023_2023_MonMon_CRC_TR_RZ_Rz_3__Nutri</v>
      </c>
    </row>
    <row r="841" spans="1:18" x14ac:dyDescent="0.25">
      <c r="A841">
        <v>12</v>
      </c>
      <c r="B841">
        <v>92</v>
      </c>
      <c r="E841" s="1">
        <v>45120</v>
      </c>
      <c r="F841" s="11">
        <f t="shared" si="79"/>
        <v>45120</v>
      </c>
      <c r="G841">
        <f t="shared" si="76"/>
        <v>2023</v>
      </c>
      <c r="H841">
        <f t="shared" si="77"/>
        <v>7</v>
      </c>
      <c r="I841">
        <f t="shared" si="78"/>
        <v>13</v>
      </c>
      <c r="J841" t="s">
        <v>10</v>
      </c>
      <c r="K841" t="s">
        <v>16</v>
      </c>
      <c r="L841" t="s">
        <v>14</v>
      </c>
      <c r="M841" t="s">
        <v>26</v>
      </c>
      <c r="N841" t="s">
        <v>18</v>
      </c>
      <c r="O841">
        <v>4</v>
      </c>
      <c r="Q841" t="s">
        <v>50</v>
      </c>
      <c r="R841" t="str">
        <f t="shared" si="80"/>
        <v>12_92___07/13/2023_2023_MonMon_CRC_TR_RZ_Rz_4__Nutri</v>
      </c>
    </row>
    <row r="842" spans="1:18" x14ac:dyDescent="0.25">
      <c r="A842">
        <v>12</v>
      </c>
      <c r="B842">
        <v>93</v>
      </c>
      <c r="E842" s="1">
        <v>45120</v>
      </c>
      <c r="F842" s="11">
        <f t="shared" si="79"/>
        <v>45120</v>
      </c>
      <c r="G842">
        <f t="shared" si="76"/>
        <v>2023</v>
      </c>
      <c r="H842">
        <f t="shared" si="77"/>
        <v>7</v>
      </c>
      <c r="I842">
        <f t="shared" si="78"/>
        <v>13</v>
      </c>
      <c r="J842" t="s">
        <v>10</v>
      </c>
      <c r="K842" t="s">
        <v>16</v>
      </c>
      <c r="L842" t="s">
        <v>14</v>
      </c>
      <c r="M842" t="s">
        <v>26</v>
      </c>
      <c r="N842" t="s">
        <v>18</v>
      </c>
      <c r="O842">
        <v>5</v>
      </c>
      <c r="Q842" t="s">
        <v>50</v>
      </c>
      <c r="R842" t="str">
        <f t="shared" si="80"/>
        <v>12_93___07/13/2023_2023_MonMon_CRC_TR_RZ_Rz_5__Nutri</v>
      </c>
    </row>
    <row r="843" spans="1:18" x14ac:dyDescent="0.25">
      <c r="A843">
        <v>12</v>
      </c>
      <c r="B843">
        <v>94</v>
      </c>
      <c r="E843" s="1">
        <v>45120</v>
      </c>
      <c r="F843" s="11">
        <f t="shared" si="79"/>
        <v>45120</v>
      </c>
      <c r="G843">
        <f t="shared" si="76"/>
        <v>2023</v>
      </c>
      <c r="H843">
        <f t="shared" si="77"/>
        <v>7</v>
      </c>
      <c r="I843">
        <f t="shared" si="78"/>
        <v>13</v>
      </c>
      <c r="J843" t="s">
        <v>10</v>
      </c>
      <c r="K843" t="s">
        <v>16</v>
      </c>
      <c r="L843" t="s">
        <v>14</v>
      </c>
      <c r="M843" t="s">
        <v>26</v>
      </c>
      <c r="N843" t="s">
        <v>18</v>
      </c>
      <c r="O843">
        <v>7</v>
      </c>
      <c r="Q843" t="s">
        <v>50</v>
      </c>
      <c r="R843" t="str">
        <f t="shared" si="80"/>
        <v>12_94___07/13/2023_2023_MonMon_CRC_TR_RZ_Rz_7__Nutri</v>
      </c>
    </row>
    <row r="844" spans="1:18" x14ac:dyDescent="0.25">
      <c r="A844">
        <v>12</v>
      </c>
      <c r="B844">
        <v>95</v>
      </c>
      <c r="E844" s="1">
        <v>45120</v>
      </c>
      <c r="F844" s="11">
        <f t="shared" si="79"/>
        <v>45120</v>
      </c>
      <c r="G844">
        <f t="shared" si="76"/>
        <v>2023</v>
      </c>
      <c r="H844">
        <f t="shared" si="77"/>
        <v>7</v>
      </c>
      <c r="I844">
        <f t="shared" si="78"/>
        <v>13</v>
      </c>
      <c r="J844" t="s">
        <v>10</v>
      </c>
      <c r="K844" t="s">
        <v>16</v>
      </c>
      <c r="L844" t="s">
        <v>14</v>
      </c>
      <c r="M844" t="s">
        <v>26</v>
      </c>
      <c r="N844" t="s">
        <v>18</v>
      </c>
      <c r="O844">
        <v>8</v>
      </c>
      <c r="Q844" t="s">
        <v>50</v>
      </c>
      <c r="R844" t="str">
        <f t="shared" si="80"/>
        <v>12_95___07/13/2023_2023_MonMon_CRC_TR_RZ_Rz_8__Nutri</v>
      </c>
    </row>
    <row r="845" spans="1:18" s="6" customFormat="1" x14ac:dyDescent="0.25">
      <c r="A845" s="6">
        <v>12</v>
      </c>
      <c r="B845" s="6">
        <v>96</v>
      </c>
      <c r="E845" s="7">
        <v>45120</v>
      </c>
      <c r="F845" s="11">
        <f t="shared" si="79"/>
        <v>45120</v>
      </c>
      <c r="G845" s="6">
        <f t="shared" si="76"/>
        <v>2023</v>
      </c>
      <c r="H845" s="6">
        <f t="shared" si="77"/>
        <v>7</v>
      </c>
      <c r="I845" s="6">
        <f t="shared" si="78"/>
        <v>13</v>
      </c>
      <c r="J845" s="6" t="s">
        <v>10</v>
      </c>
      <c r="K845" s="6" t="s">
        <v>16</v>
      </c>
      <c r="L845" s="6" t="s">
        <v>28</v>
      </c>
      <c r="M845" s="6" t="s">
        <v>28</v>
      </c>
      <c r="N845" s="6" t="s">
        <v>27</v>
      </c>
      <c r="O845" s="6" t="s">
        <v>23</v>
      </c>
      <c r="Q845" s="6" t="s">
        <v>50</v>
      </c>
      <c r="R845" t="str">
        <f t="shared" si="80"/>
        <v>12_96___07/13/2023_2023_MonMon_CRC_OW_OW_Sip_A__Nutri</v>
      </c>
    </row>
    <row r="846" spans="1:18" s="6" customFormat="1" x14ac:dyDescent="0.25">
      <c r="A846" s="6">
        <v>12</v>
      </c>
      <c r="B846" s="6">
        <v>97</v>
      </c>
      <c r="E846" s="7">
        <v>45120</v>
      </c>
      <c r="F846" s="11">
        <f t="shared" si="79"/>
        <v>45120</v>
      </c>
      <c r="G846" s="6">
        <f t="shared" si="76"/>
        <v>2023</v>
      </c>
      <c r="H846" s="6">
        <f t="shared" si="77"/>
        <v>7</v>
      </c>
      <c r="I846" s="6">
        <f t="shared" si="78"/>
        <v>13</v>
      </c>
      <c r="J846" s="6" t="s">
        <v>10</v>
      </c>
      <c r="K846" s="6" t="s">
        <v>16</v>
      </c>
      <c r="L846" s="6" t="s">
        <v>28</v>
      </c>
      <c r="M846" s="6" t="s">
        <v>28</v>
      </c>
      <c r="N846" s="6" t="s">
        <v>27</v>
      </c>
      <c r="O846" s="6" t="s">
        <v>24</v>
      </c>
      <c r="Q846" s="6" t="s">
        <v>50</v>
      </c>
      <c r="R846" t="str">
        <f t="shared" si="80"/>
        <v>12_97___07/13/2023_2023_MonMon_CRC_OW_OW_Sip_B__Nutri</v>
      </c>
    </row>
    <row r="847" spans="1:18" s="6" customFormat="1" x14ac:dyDescent="0.25">
      <c r="A847" s="6">
        <v>12</v>
      </c>
      <c r="B847" s="6">
        <v>98</v>
      </c>
      <c r="E847" s="7">
        <v>45120</v>
      </c>
      <c r="F847" s="11">
        <f t="shared" si="79"/>
        <v>45120</v>
      </c>
      <c r="G847" s="6">
        <f t="shared" si="76"/>
        <v>2023</v>
      </c>
      <c r="H847" s="6">
        <f t="shared" si="77"/>
        <v>7</v>
      </c>
      <c r="I847" s="6">
        <f t="shared" si="78"/>
        <v>13</v>
      </c>
      <c r="J847" s="6" t="s">
        <v>10</v>
      </c>
      <c r="K847" s="6" t="s">
        <v>16</v>
      </c>
      <c r="L847" s="6" t="s">
        <v>28</v>
      </c>
      <c r="M847" s="6" t="s">
        <v>28</v>
      </c>
      <c r="N847" s="6" t="s">
        <v>27</v>
      </c>
      <c r="O847" s="6" t="s">
        <v>25</v>
      </c>
      <c r="Q847" s="6" t="s">
        <v>50</v>
      </c>
      <c r="R847" t="str">
        <f t="shared" si="80"/>
        <v>12_98___07/13/2023_2023_MonMon_CRC_OW_OW_Sip_C__Nutri</v>
      </c>
    </row>
    <row r="848" spans="1:18" x14ac:dyDescent="0.25">
      <c r="A848">
        <v>13</v>
      </c>
      <c r="B848">
        <v>1</v>
      </c>
      <c r="E848" s="1">
        <v>45120</v>
      </c>
      <c r="F848" s="11">
        <f t="shared" si="79"/>
        <v>45120</v>
      </c>
      <c r="G848">
        <f t="shared" si="76"/>
        <v>2023</v>
      </c>
      <c r="H848">
        <f t="shared" si="77"/>
        <v>7</v>
      </c>
      <c r="I848">
        <f t="shared" si="78"/>
        <v>13</v>
      </c>
      <c r="J848" t="s">
        <v>10</v>
      </c>
      <c r="K848" t="s">
        <v>16</v>
      </c>
      <c r="L848" t="s">
        <v>9</v>
      </c>
      <c r="M848" t="s">
        <v>33</v>
      </c>
      <c r="N848" t="s">
        <v>27</v>
      </c>
      <c r="O848" t="s">
        <v>23</v>
      </c>
      <c r="Q848" t="s">
        <v>50</v>
      </c>
      <c r="R848" t="str">
        <f t="shared" si="80"/>
        <v>13_1___07/13/2023_2023_MonMon_CRC_W_GW_Sip_A__Nutri</v>
      </c>
    </row>
    <row r="849" spans="1:18" x14ac:dyDescent="0.25">
      <c r="A849">
        <v>13</v>
      </c>
      <c r="B849">
        <v>2</v>
      </c>
      <c r="E849" s="1">
        <v>45120</v>
      </c>
      <c r="F849" s="11">
        <f t="shared" si="79"/>
        <v>45120</v>
      </c>
      <c r="G849">
        <f t="shared" si="76"/>
        <v>2023</v>
      </c>
      <c r="H849">
        <f t="shared" si="77"/>
        <v>7</v>
      </c>
      <c r="I849">
        <f t="shared" si="78"/>
        <v>13</v>
      </c>
      <c r="J849" t="s">
        <v>10</v>
      </c>
      <c r="K849" t="s">
        <v>16</v>
      </c>
      <c r="L849" t="s">
        <v>9</v>
      </c>
      <c r="M849" t="s">
        <v>33</v>
      </c>
      <c r="N849" t="s">
        <v>27</v>
      </c>
      <c r="O849" t="s">
        <v>24</v>
      </c>
      <c r="Q849" t="s">
        <v>50</v>
      </c>
      <c r="R849" t="str">
        <f t="shared" si="80"/>
        <v>13_2___07/13/2023_2023_MonMon_CRC_W_GW_Sip_B__Nutri</v>
      </c>
    </row>
    <row r="850" spans="1:18" x14ac:dyDescent="0.25">
      <c r="A850">
        <v>13</v>
      </c>
      <c r="B850">
        <v>3</v>
      </c>
      <c r="E850" s="1">
        <v>45120</v>
      </c>
      <c r="F850" s="11">
        <f t="shared" si="79"/>
        <v>45120</v>
      </c>
      <c r="G850">
        <f t="shared" si="76"/>
        <v>2023</v>
      </c>
      <c r="H850">
        <f t="shared" si="77"/>
        <v>7</v>
      </c>
      <c r="I850">
        <f t="shared" si="78"/>
        <v>13</v>
      </c>
      <c r="J850" t="s">
        <v>10</v>
      </c>
      <c r="K850" t="s">
        <v>16</v>
      </c>
      <c r="L850" t="s">
        <v>9</v>
      </c>
      <c r="M850" t="s">
        <v>33</v>
      </c>
      <c r="N850" t="s">
        <v>27</v>
      </c>
      <c r="O850" t="s">
        <v>25</v>
      </c>
      <c r="Q850" t="s">
        <v>50</v>
      </c>
      <c r="R850" t="str">
        <f t="shared" si="80"/>
        <v>13_3___07/13/2023_2023_MonMon_CRC_W_GW_Sip_C__Nutri</v>
      </c>
    </row>
    <row r="851" spans="1:18" x14ac:dyDescent="0.25">
      <c r="A851">
        <v>13</v>
      </c>
      <c r="B851">
        <v>4</v>
      </c>
      <c r="E851" s="1">
        <v>45120</v>
      </c>
      <c r="F851" s="11">
        <f t="shared" si="79"/>
        <v>45120</v>
      </c>
      <c r="G851">
        <f t="shared" si="76"/>
        <v>2023</v>
      </c>
      <c r="H851">
        <f t="shared" si="77"/>
        <v>7</v>
      </c>
      <c r="I851">
        <f t="shared" si="78"/>
        <v>13</v>
      </c>
      <c r="J851" t="s">
        <v>10</v>
      </c>
      <c r="K851" t="s">
        <v>16</v>
      </c>
      <c r="L851" t="s">
        <v>14</v>
      </c>
      <c r="M851" t="s">
        <v>33</v>
      </c>
      <c r="N851" t="s">
        <v>27</v>
      </c>
      <c r="O851" t="s">
        <v>23</v>
      </c>
      <c r="Q851" t="s">
        <v>50</v>
      </c>
      <c r="R851" t="str">
        <f t="shared" si="80"/>
        <v>13_4___07/13/2023_2023_MonMon_CRC_TR_GW_Sip_A__Nutri</v>
      </c>
    </row>
    <row r="852" spans="1:18" x14ac:dyDescent="0.25">
      <c r="A852">
        <v>13</v>
      </c>
      <c r="B852">
        <v>5</v>
      </c>
      <c r="E852" s="1">
        <v>45120</v>
      </c>
      <c r="F852" s="11">
        <f t="shared" si="79"/>
        <v>45120</v>
      </c>
      <c r="G852">
        <f t="shared" si="76"/>
        <v>2023</v>
      </c>
      <c r="H852">
        <f t="shared" si="77"/>
        <v>7</v>
      </c>
      <c r="I852">
        <f t="shared" si="78"/>
        <v>13</v>
      </c>
      <c r="J852" t="s">
        <v>10</v>
      </c>
      <c r="K852" t="s">
        <v>16</v>
      </c>
      <c r="L852" t="s">
        <v>14</v>
      </c>
      <c r="M852" t="s">
        <v>33</v>
      </c>
      <c r="N852" t="s">
        <v>27</v>
      </c>
      <c r="O852" t="s">
        <v>24</v>
      </c>
      <c r="Q852" t="s">
        <v>50</v>
      </c>
      <c r="R852" t="str">
        <f t="shared" si="80"/>
        <v>13_5___07/13/2023_2023_MonMon_CRC_TR_GW_Sip_B__Nutri</v>
      </c>
    </row>
    <row r="853" spans="1:18" x14ac:dyDescent="0.25">
      <c r="A853">
        <v>13</v>
      </c>
      <c r="B853">
        <v>6</v>
      </c>
      <c r="E853" s="1">
        <v>45120</v>
      </c>
      <c r="F853" s="11">
        <f t="shared" si="79"/>
        <v>45120</v>
      </c>
      <c r="G853">
        <f t="shared" si="76"/>
        <v>2023</v>
      </c>
      <c r="H853">
        <f t="shared" si="77"/>
        <v>7</v>
      </c>
      <c r="I853">
        <f t="shared" si="78"/>
        <v>13</v>
      </c>
      <c r="J853" t="s">
        <v>10</v>
      </c>
      <c r="K853" t="s">
        <v>16</v>
      </c>
      <c r="L853" t="s">
        <v>14</v>
      </c>
      <c r="M853" t="s">
        <v>33</v>
      </c>
      <c r="N853" t="s">
        <v>27</v>
      </c>
      <c r="O853" t="s">
        <v>25</v>
      </c>
      <c r="Q853" t="s">
        <v>50</v>
      </c>
      <c r="R853" t="str">
        <f t="shared" si="80"/>
        <v>13_6___07/13/2023_2023_MonMon_CRC_TR_GW_Sip_C__Nutri</v>
      </c>
    </row>
    <row r="854" spans="1:18" x14ac:dyDescent="0.25">
      <c r="A854">
        <v>13</v>
      </c>
      <c r="B854">
        <v>7</v>
      </c>
      <c r="E854" s="1">
        <v>45120</v>
      </c>
      <c r="F854" s="11">
        <f t="shared" si="79"/>
        <v>45120</v>
      </c>
      <c r="G854">
        <f t="shared" si="76"/>
        <v>2023</v>
      </c>
      <c r="H854">
        <f t="shared" si="77"/>
        <v>7</v>
      </c>
      <c r="I854">
        <f t="shared" si="78"/>
        <v>13</v>
      </c>
      <c r="J854" t="s">
        <v>10</v>
      </c>
      <c r="K854" t="s">
        <v>16</v>
      </c>
      <c r="L854" t="s">
        <v>17</v>
      </c>
      <c r="M854" t="s">
        <v>33</v>
      </c>
      <c r="N854" t="s">
        <v>27</v>
      </c>
      <c r="O854" t="s">
        <v>23</v>
      </c>
      <c r="Q854" t="s">
        <v>50</v>
      </c>
      <c r="R854" t="str">
        <f t="shared" si="80"/>
        <v>13_7___07/13/2023_2023_MonMon_CRC_UP_GW_Sip_A__Nutri</v>
      </c>
    </row>
    <row r="855" spans="1:18" x14ac:dyDescent="0.25">
      <c r="A855">
        <v>13</v>
      </c>
      <c r="B855">
        <v>8</v>
      </c>
      <c r="E855" s="1">
        <v>45120</v>
      </c>
      <c r="F855" s="11">
        <f t="shared" si="79"/>
        <v>45120</v>
      </c>
      <c r="G855">
        <f t="shared" si="76"/>
        <v>2023</v>
      </c>
      <c r="H855">
        <f t="shared" si="77"/>
        <v>7</v>
      </c>
      <c r="I855">
        <f t="shared" si="78"/>
        <v>13</v>
      </c>
      <c r="J855" t="s">
        <v>10</v>
      </c>
      <c r="K855" t="s">
        <v>16</v>
      </c>
      <c r="L855" t="s">
        <v>17</v>
      </c>
      <c r="M855" t="s">
        <v>33</v>
      </c>
      <c r="N855" t="s">
        <v>27</v>
      </c>
      <c r="O855" t="s">
        <v>24</v>
      </c>
      <c r="Q855" t="s">
        <v>50</v>
      </c>
      <c r="R855" t="str">
        <f t="shared" si="80"/>
        <v>13_8___07/13/2023_2023_MonMon_CRC_UP_GW_Sip_B__Nutri</v>
      </c>
    </row>
    <row r="856" spans="1:18" x14ac:dyDescent="0.25">
      <c r="A856">
        <v>13</v>
      </c>
      <c r="B856">
        <v>9</v>
      </c>
      <c r="E856" s="1">
        <v>45120</v>
      </c>
      <c r="F856" s="11">
        <f t="shared" si="79"/>
        <v>45120</v>
      </c>
      <c r="G856">
        <f t="shared" si="76"/>
        <v>2023</v>
      </c>
      <c r="H856">
        <f t="shared" si="77"/>
        <v>7</v>
      </c>
      <c r="I856">
        <f t="shared" si="78"/>
        <v>13</v>
      </c>
      <c r="J856" t="s">
        <v>10</v>
      </c>
      <c r="K856" t="s">
        <v>16</v>
      </c>
      <c r="L856" t="s">
        <v>17</v>
      </c>
      <c r="M856" t="s">
        <v>33</v>
      </c>
      <c r="N856" t="s">
        <v>27</v>
      </c>
      <c r="O856" t="s">
        <v>25</v>
      </c>
      <c r="Q856" t="s">
        <v>50</v>
      </c>
      <c r="R856" t="str">
        <f t="shared" si="80"/>
        <v>13_9___07/13/2023_2023_MonMon_CRC_UP_GW_Sip_C__Nutri</v>
      </c>
    </row>
    <row r="857" spans="1:18" x14ac:dyDescent="0.25">
      <c r="A857">
        <v>13</v>
      </c>
      <c r="B857">
        <v>10</v>
      </c>
      <c r="E857" s="1">
        <v>45131</v>
      </c>
      <c r="F857" s="11">
        <f t="shared" si="79"/>
        <v>45131</v>
      </c>
      <c r="G857">
        <f t="shared" ref="G857:G858" si="81">YEAR(E857)</f>
        <v>2023</v>
      </c>
      <c r="H857">
        <f t="shared" ref="H857:H858" si="82">MONTH(E857)</f>
        <v>7</v>
      </c>
      <c r="I857">
        <f t="shared" ref="I857:I858" si="83">DAY(E857)</f>
        <v>24</v>
      </c>
      <c r="J857" t="s">
        <v>10</v>
      </c>
      <c r="K857" t="s">
        <v>8</v>
      </c>
      <c r="L857" t="s">
        <v>9</v>
      </c>
      <c r="M857" t="s">
        <v>11</v>
      </c>
      <c r="N857" t="s">
        <v>27</v>
      </c>
      <c r="O857" t="s">
        <v>23</v>
      </c>
      <c r="P857">
        <v>45</v>
      </c>
      <c r="Q857" t="s">
        <v>50</v>
      </c>
      <c r="R857" t="str">
        <f t="shared" si="80"/>
        <v>13_10___07/24/2023_2023_MonMon_OWC_W_PW_Sip_A_45_Nutri</v>
      </c>
    </row>
    <row r="858" spans="1:18" x14ac:dyDescent="0.25">
      <c r="A858">
        <v>13</v>
      </c>
      <c r="B858">
        <v>11</v>
      </c>
      <c r="E858" s="1">
        <v>45131</v>
      </c>
      <c r="F858" s="11">
        <f t="shared" si="79"/>
        <v>45131</v>
      </c>
      <c r="G858">
        <f t="shared" si="81"/>
        <v>2023</v>
      </c>
      <c r="H858">
        <f t="shared" si="82"/>
        <v>7</v>
      </c>
      <c r="I858">
        <f t="shared" si="83"/>
        <v>24</v>
      </c>
      <c r="J858" t="s">
        <v>10</v>
      </c>
      <c r="K858" t="s">
        <v>8</v>
      </c>
      <c r="L858" t="s">
        <v>9</v>
      </c>
      <c r="M858" t="s">
        <v>11</v>
      </c>
      <c r="N858" t="s">
        <v>27</v>
      </c>
      <c r="O858" t="s">
        <v>23</v>
      </c>
      <c r="P858">
        <v>45</v>
      </c>
      <c r="Q858" t="s">
        <v>50</v>
      </c>
      <c r="R858" t="str">
        <f t="shared" si="80"/>
        <v>13_11___07/24/2023_2023_MonMon_OWC_W_PW_Sip_A_45_Nutri</v>
      </c>
    </row>
    <row r="859" spans="1:18" x14ac:dyDescent="0.25">
      <c r="A859">
        <v>13</v>
      </c>
      <c r="B859">
        <v>12</v>
      </c>
      <c r="E859" s="1">
        <v>45131</v>
      </c>
      <c r="F859" s="11">
        <f t="shared" si="79"/>
        <v>45131</v>
      </c>
      <c r="G859">
        <f t="shared" ref="G859:G889" si="84">YEAR(E859)</f>
        <v>2023</v>
      </c>
      <c r="H859">
        <f t="shared" ref="H859:H889" si="85">MONTH(E859)</f>
        <v>7</v>
      </c>
      <c r="I859">
        <f t="shared" ref="I859:I889" si="86">DAY(E859)</f>
        <v>24</v>
      </c>
      <c r="J859" t="s">
        <v>10</v>
      </c>
      <c r="K859" t="s">
        <v>8</v>
      </c>
      <c r="L859" t="s">
        <v>14</v>
      </c>
      <c r="M859" t="s">
        <v>11</v>
      </c>
      <c r="N859" t="s">
        <v>15</v>
      </c>
      <c r="O859" t="s">
        <v>23</v>
      </c>
      <c r="P859">
        <v>10</v>
      </c>
      <c r="Q859" t="s">
        <v>50</v>
      </c>
      <c r="R859" t="str">
        <f t="shared" si="80"/>
        <v>13_12___07/24/2023_2023_MonMon_OWC_TR_PW_Lys_A_10_Nutri</v>
      </c>
    </row>
    <row r="860" spans="1:18" x14ac:dyDescent="0.25">
      <c r="A860">
        <v>13</v>
      </c>
      <c r="B860">
        <v>13</v>
      </c>
      <c r="E860" s="1">
        <v>45131</v>
      </c>
      <c r="F860" s="11">
        <f t="shared" si="79"/>
        <v>45131</v>
      </c>
      <c r="G860">
        <f t="shared" si="84"/>
        <v>2023</v>
      </c>
      <c r="H860">
        <f t="shared" si="85"/>
        <v>7</v>
      </c>
      <c r="I860">
        <f t="shared" si="86"/>
        <v>24</v>
      </c>
      <c r="J860" t="s">
        <v>10</v>
      </c>
      <c r="K860" t="s">
        <v>8</v>
      </c>
      <c r="L860" t="s">
        <v>14</v>
      </c>
      <c r="M860" t="s">
        <v>11</v>
      </c>
      <c r="N860" t="s">
        <v>15</v>
      </c>
      <c r="O860" t="s">
        <v>23</v>
      </c>
      <c r="P860">
        <v>20</v>
      </c>
      <c r="Q860" t="s">
        <v>50</v>
      </c>
      <c r="R860" t="str">
        <f t="shared" si="80"/>
        <v>13_13___07/24/2023_2023_MonMon_OWC_TR_PW_Lys_A_20_Nutri</v>
      </c>
    </row>
    <row r="861" spans="1:18" x14ac:dyDescent="0.25">
      <c r="A861">
        <v>13</v>
      </c>
      <c r="B861">
        <v>14</v>
      </c>
      <c r="E861" s="1">
        <v>45131</v>
      </c>
      <c r="F861" s="11">
        <f t="shared" si="79"/>
        <v>45131</v>
      </c>
      <c r="G861">
        <f t="shared" si="84"/>
        <v>2023</v>
      </c>
      <c r="H861">
        <f t="shared" si="85"/>
        <v>7</v>
      </c>
      <c r="I861">
        <f t="shared" si="86"/>
        <v>24</v>
      </c>
      <c r="J861" t="s">
        <v>10</v>
      </c>
      <c r="K861" t="s">
        <v>8</v>
      </c>
      <c r="L861" t="s">
        <v>14</v>
      </c>
      <c r="M861" t="s">
        <v>11</v>
      </c>
      <c r="N861" t="s">
        <v>15</v>
      </c>
      <c r="O861" t="s">
        <v>23</v>
      </c>
      <c r="P861">
        <v>45</v>
      </c>
      <c r="Q861" t="s">
        <v>50</v>
      </c>
      <c r="R861" t="str">
        <f t="shared" si="80"/>
        <v>13_14___07/24/2023_2023_MonMon_OWC_TR_PW_Lys_A_45_Nutri</v>
      </c>
    </row>
    <row r="862" spans="1:18" x14ac:dyDescent="0.25">
      <c r="A862">
        <v>13</v>
      </c>
      <c r="B862">
        <v>15</v>
      </c>
      <c r="E862" s="1">
        <v>45131</v>
      </c>
      <c r="F862" s="11">
        <f t="shared" si="79"/>
        <v>45131</v>
      </c>
      <c r="G862">
        <f t="shared" si="84"/>
        <v>2023</v>
      </c>
      <c r="H862">
        <f t="shared" si="85"/>
        <v>7</v>
      </c>
      <c r="I862">
        <f t="shared" si="86"/>
        <v>24</v>
      </c>
      <c r="J862" t="s">
        <v>10</v>
      </c>
      <c r="K862" t="s">
        <v>8</v>
      </c>
      <c r="L862" t="s">
        <v>14</v>
      </c>
      <c r="M862" t="s">
        <v>11</v>
      </c>
      <c r="N862" t="s">
        <v>15</v>
      </c>
      <c r="O862" t="s">
        <v>24</v>
      </c>
      <c r="P862">
        <v>10</v>
      </c>
      <c r="Q862" t="s">
        <v>50</v>
      </c>
      <c r="R862" t="str">
        <f t="shared" si="80"/>
        <v>13_15___07/24/2023_2023_MonMon_OWC_TR_PW_Lys_B_10_Nutri</v>
      </c>
    </row>
    <row r="863" spans="1:18" x14ac:dyDescent="0.25">
      <c r="A863">
        <v>13</v>
      </c>
      <c r="B863">
        <v>16</v>
      </c>
      <c r="E863" s="1">
        <v>45131</v>
      </c>
      <c r="F863" s="11">
        <f t="shared" si="79"/>
        <v>45131</v>
      </c>
      <c r="G863">
        <f t="shared" si="84"/>
        <v>2023</v>
      </c>
      <c r="H863">
        <f t="shared" si="85"/>
        <v>7</v>
      </c>
      <c r="I863">
        <f t="shared" si="86"/>
        <v>24</v>
      </c>
      <c r="J863" t="s">
        <v>10</v>
      </c>
      <c r="K863" t="s">
        <v>8</v>
      </c>
      <c r="L863" t="s">
        <v>14</v>
      </c>
      <c r="M863" t="s">
        <v>11</v>
      </c>
      <c r="N863" t="s">
        <v>15</v>
      </c>
      <c r="O863" t="s">
        <v>24</v>
      </c>
      <c r="P863">
        <v>20</v>
      </c>
      <c r="Q863" t="s">
        <v>50</v>
      </c>
      <c r="R863" t="str">
        <f t="shared" si="80"/>
        <v>13_16___07/24/2023_2023_MonMon_OWC_TR_PW_Lys_B_20_Nutri</v>
      </c>
    </row>
    <row r="864" spans="1:18" x14ac:dyDescent="0.25">
      <c r="A864">
        <v>13</v>
      </c>
      <c r="B864">
        <v>17</v>
      </c>
      <c r="E864" s="1">
        <v>45131</v>
      </c>
      <c r="F864" s="11">
        <f t="shared" si="79"/>
        <v>45131</v>
      </c>
      <c r="G864">
        <f t="shared" si="84"/>
        <v>2023</v>
      </c>
      <c r="H864">
        <f t="shared" si="85"/>
        <v>7</v>
      </c>
      <c r="I864">
        <f t="shared" si="86"/>
        <v>24</v>
      </c>
      <c r="J864" t="s">
        <v>10</v>
      </c>
      <c r="K864" t="s">
        <v>8</v>
      </c>
      <c r="L864" t="s">
        <v>14</v>
      </c>
      <c r="M864" t="s">
        <v>11</v>
      </c>
      <c r="N864" t="s">
        <v>15</v>
      </c>
      <c r="O864" t="s">
        <v>24</v>
      </c>
      <c r="P864">
        <v>45</v>
      </c>
      <c r="Q864" t="s">
        <v>50</v>
      </c>
      <c r="R864" t="str">
        <f t="shared" si="80"/>
        <v>13_17___07/24/2023_2023_MonMon_OWC_TR_PW_Lys_B_45_Nutri</v>
      </c>
    </row>
    <row r="865" spans="1:18" x14ac:dyDescent="0.25">
      <c r="A865">
        <v>13</v>
      </c>
      <c r="B865">
        <v>18</v>
      </c>
      <c r="E865" s="1">
        <v>45131</v>
      </c>
      <c r="F865" s="11">
        <f t="shared" si="79"/>
        <v>45131</v>
      </c>
      <c r="G865">
        <f t="shared" si="84"/>
        <v>2023</v>
      </c>
      <c r="H865">
        <f t="shared" si="85"/>
        <v>7</v>
      </c>
      <c r="I865">
        <f t="shared" si="86"/>
        <v>24</v>
      </c>
      <c r="J865" t="s">
        <v>10</v>
      </c>
      <c r="K865" t="s">
        <v>8</v>
      </c>
      <c r="L865" t="s">
        <v>14</v>
      </c>
      <c r="M865" t="s">
        <v>11</v>
      </c>
      <c r="N865" t="s">
        <v>15</v>
      </c>
      <c r="O865" t="s">
        <v>25</v>
      </c>
      <c r="P865">
        <v>10</v>
      </c>
      <c r="Q865" t="s">
        <v>50</v>
      </c>
      <c r="R865" t="str">
        <f t="shared" si="80"/>
        <v>13_18___07/24/2023_2023_MonMon_OWC_TR_PW_Lys_C_10_Nutri</v>
      </c>
    </row>
    <row r="866" spans="1:18" x14ac:dyDescent="0.25">
      <c r="A866">
        <v>13</v>
      </c>
      <c r="B866">
        <v>19</v>
      </c>
      <c r="E866" s="1">
        <v>45131</v>
      </c>
      <c r="F866" s="11">
        <f t="shared" si="79"/>
        <v>45131</v>
      </c>
      <c r="G866">
        <f t="shared" si="84"/>
        <v>2023</v>
      </c>
      <c r="H866">
        <f t="shared" si="85"/>
        <v>7</v>
      </c>
      <c r="I866">
        <f t="shared" si="86"/>
        <v>24</v>
      </c>
      <c r="J866" t="s">
        <v>10</v>
      </c>
      <c r="K866" t="s">
        <v>8</v>
      </c>
      <c r="L866" t="s">
        <v>14</v>
      </c>
      <c r="M866" t="s">
        <v>11</v>
      </c>
      <c r="N866" t="s">
        <v>15</v>
      </c>
      <c r="O866" t="s">
        <v>25</v>
      </c>
      <c r="P866">
        <v>20</v>
      </c>
      <c r="Q866" t="s">
        <v>50</v>
      </c>
      <c r="R866" t="str">
        <f t="shared" si="80"/>
        <v>13_19___07/24/2023_2023_MonMon_OWC_TR_PW_Lys_C_20_Nutri</v>
      </c>
    </row>
    <row r="867" spans="1:18" x14ac:dyDescent="0.25">
      <c r="A867">
        <v>13</v>
      </c>
      <c r="B867">
        <v>20</v>
      </c>
      <c r="E867" s="1">
        <v>45131</v>
      </c>
      <c r="F867" s="11">
        <f t="shared" si="79"/>
        <v>45131</v>
      </c>
      <c r="G867">
        <f t="shared" si="84"/>
        <v>2023</v>
      </c>
      <c r="H867">
        <f t="shared" si="85"/>
        <v>7</v>
      </c>
      <c r="I867">
        <f t="shared" si="86"/>
        <v>24</v>
      </c>
      <c r="J867" t="s">
        <v>10</v>
      </c>
      <c r="K867" t="s">
        <v>8</v>
      </c>
      <c r="L867" t="s">
        <v>14</v>
      </c>
      <c r="M867" t="s">
        <v>11</v>
      </c>
      <c r="N867" t="s">
        <v>15</v>
      </c>
      <c r="O867" t="s">
        <v>25</v>
      </c>
      <c r="P867">
        <v>45</v>
      </c>
      <c r="Q867" t="s">
        <v>50</v>
      </c>
      <c r="R867" t="str">
        <f t="shared" si="80"/>
        <v>13_20___07/24/2023_2023_MonMon_OWC_TR_PW_Lys_C_45_Nutri</v>
      </c>
    </row>
    <row r="868" spans="1:18" x14ac:dyDescent="0.25">
      <c r="A868">
        <v>13</v>
      </c>
      <c r="B868">
        <v>21</v>
      </c>
      <c r="E868" s="1">
        <v>45131</v>
      </c>
      <c r="F868" s="11">
        <f t="shared" si="79"/>
        <v>45131</v>
      </c>
      <c r="G868">
        <f t="shared" si="84"/>
        <v>2023</v>
      </c>
      <c r="H868">
        <f t="shared" si="85"/>
        <v>7</v>
      </c>
      <c r="I868">
        <f t="shared" si="86"/>
        <v>24</v>
      </c>
      <c r="J868" t="s">
        <v>10</v>
      </c>
      <c r="K868" t="s">
        <v>8</v>
      </c>
      <c r="L868" t="s">
        <v>14</v>
      </c>
      <c r="M868" t="s">
        <v>26</v>
      </c>
      <c r="N868" t="s">
        <v>18</v>
      </c>
      <c r="O868">
        <v>1</v>
      </c>
      <c r="Q868" t="s">
        <v>50</v>
      </c>
      <c r="R868" t="str">
        <f t="shared" si="80"/>
        <v>13_21___07/24/2023_2023_MonMon_OWC_TR_RZ_Rz_1__Nutri</v>
      </c>
    </row>
    <row r="869" spans="1:18" x14ac:dyDescent="0.25">
      <c r="A869">
        <v>13</v>
      </c>
      <c r="B869">
        <v>22</v>
      </c>
      <c r="E869" s="1">
        <v>45131</v>
      </c>
      <c r="F869" s="11">
        <f t="shared" si="79"/>
        <v>45131</v>
      </c>
      <c r="G869">
        <f t="shared" si="84"/>
        <v>2023</v>
      </c>
      <c r="H869">
        <f t="shared" si="85"/>
        <v>7</v>
      </c>
      <c r="I869">
        <f t="shared" si="86"/>
        <v>24</v>
      </c>
      <c r="J869" t="s">
        <v>10</v>
      </c>
      <c r="K869" t="s">
        <v>8</v>
      </c>
      <c r="L869" t="s">
        <v>14</v>
      </c>
      <c r="M869" t="s">
        <v>26</v>
      </c>
      <c r="N869" t="s">
        <v>18</v>
      </c>
      <c r="O869">
        <v>2</v>
      </c>
      <c r="Q869" t="s">
        <v>50</v>
      </c>
      <c r="R869" t="str">
        <f t="shared" si="80"/>
        <v>13_22___07/24/2023_2023_MonMon_OWC_TR_RZ_Rz_2__Nutri</v>
      </c>
    </row>
    <row r="870" spans="1:18" x14ac:dyDescent="0.25">
      <c r="A870">
        <v>13</v>
      </c>
      <c r="B870">
        <v>23</v>
      </c>
      <c r="E870" s="1">
        <v>45131</v>
      </c>
      <c r="F870" s="11">
        <f t="shared" si="79"/>
        <v>45131</v>
      </c>
      <c r="G870">
        <f t="shared" si="84"/>
        <v>2023</v>
      </c>
      <c r="H870">
        <f t="shared" si="85"/>
        <v>7</v>
      </c>
      <c r="I870">
        <f t="shared" si="86"/>
        <v>24</v>
      </c>
      <c r="J870" t="s">
        <v>10</v>
      </c>
      <c r="K870" t="s">
        <v>8</v>
      </c>
      <c r="L870" t="s">
        <v>14</v>
      </c>
      <c r="M870" t="s">
        <v>26</v>
      </c>
      <c r="N870" t="s">
        <v>18</v>
      </c>
      <c r="O870">
        <v>4</v>
      </c>
      <c r="Q870" t="s">
        <v>50</v>
      </c>
      <c r="R870" t="str">
        <f t="shared" si="80"/>
        <v>13_23___07/24/2023_2023_MonMon_OWC_TR_RZ_Rz_4__Nutri</v>
      </c>
    </row>
    <row r="871" spans="1:18" x14ac:dyDescent="0.25">
      <c r="A871">
        <v>13</v>
      </c>
      <c r="B871">
        <v>24</v>
      </c>
      <c r="E871" s="1">
        <v>45131</v>
      </c>
      <c r="F871" s="11">
        <f t="shared" si="79"/>
        <v>45131</v>
      </c>
      <c r="G871">
        <f t="shared" si="84"/>
        <v>2023</v>
      </c>
      <c r="H871">
        <f t="shared" si="85"/>
        <v>7</v>
      </c>
      <c r="I871">
        <f t="shared" si="86"/>
        <v>24</v>
      </c>
      <c r="J871" t="s">
        <v>10</v>
      </c>
      <c r="K871" t="s">
        <v>8</v>
      </c>
      <c r="L871" t="s">
        <v>14</v>
      </c>
      <c r="M871" t="s">
        <v>26</v>
      </c>
      <c r="N871" t="s">
        <v>18</v>
      </c>
      <c r="O871">
        <v>5</v>
      </c>
      <c r="Q871" t="s">
        <v>50</v>
      </c>
      <c r="R871" t="str">
        <f t="shared" si="80"/>
        <v>13_24___07/24/2023_2023_MonMon_OWC_TR_RZ_Rz_5__Nutri</v>
      </c>
    </row>
    <row r="872" spans="1:18" x14ac:dyDescent="0.25">
      <c r="A872">
        <v>13</v>
      </c>
      <c r="B872">
        <v>25</v>
      </c>
      <c r="E872" s="1">
        <v>45131</v>
      </c>
      <c r="F872" s="11">
        <f t="shared" si="79"/>
        <v>45131</v>
      </c>
      <c r="G872">
        <f t="shared" si="84"/>
        <v>2023</v>
      </c>
      <c r="H872">
        <f t="shared" si="85"/>
        <v>7</v>
      </c>
      <c r="I872">
        <f t="shared" si="86"/>
        <v>24</v>
      </c>
      <c r="J872" t="s">
        <v>10</v>
      </c>
      <c r="K872" t="s">
        <v>8</v>
      </c>
      <c r="L872" t="s">
        <v>14</v>
      </c>
      <c r="M872" t="s">
        <v>26</v>
      </c>
      <c r="N872" t="s">
        <v>18</v>
      </c>
      <c r="O872">
        <v>6</v>
      </c>
      <c r="Q872" t="s">
        <v>50</v>
      </c>
      <c r="R872" t="str">
        <f t="shared" si="80"/>
        <v>13_25___07/24/2023_2023_MonMon_OWC_TR_RZ_Rz_6__Nutri</v>
      </c>
    </row>
    <row r="873" spans="1:18" x14ac:dyDescent="0.25">
      <c r="A873">
        <v>13</v>
      </c>
      <c r="B873">
        <v>26</v>
      </c>
      <c r="E873" s="1">
        <v>45131</v>
      </c>
      <c r="F873" s="11">
        <f t="shared" si="79"/>
        <v>45131</v>
      </c>
      <c r="G873">
        <f t="shared" si="84"/>
        <v>2023</v>
      </c>
      <c r="H873">
        <f t="shared" si="85"/>
        <v>7</v>
      </c>
      <c r="I873">
        <f t="shared" si="86"/>
        <v>24</v>
      </c>
      <c r="J873" t="s">
        <v>10</v>
      </c>
      <c r="K873" t="s">
        <v>8</v>
      </c>
      <c r="L873" t="s">
        <v>14</v>
      </c>
      <c r="M873" t="s">
        <v>26</v>
      </c>
      <c r="N873" t="s">
        <v>18</v>
      </c>
      <c r="O873">
        <v>7</v>
      </c>
      <c r="Q873" t="s">
        <v>50</v>
      </c>
      <c r="R873" t="str">
        <f t="shared" si="80"/>
        <v>13_26___07/24/2023_2023_MonMon_OWC_TR_RZ_Rz_7__Nutri</v>
      </c>
    </row>
    <row r="874" spans="1:18" x14ac:dyDescent="0.25">
      <c r="A874">
        <v>13</v>
      </c>
      <c r="B874">
        <v>27</v>
      </c>
      <c r="E874" s="1">
        <v>45131</v>
      </c>
      <c r="F874" s="11">
        <f t="shared" si="79"/>
        <v>45131</v>
      </c>
      <c r="G874">
        <f t="shared" si="84"/>
        <v>2023</v>
      </c>
      <c r="H874">
        <f t="shared" si="85"/>
        <v>7</v>
      </c>
      <c r="I874">
        <f t="shared" si="86"/>
        <v>24</v>
      </c>
      <c r="J874" t="s">
        <v>10</v>
      </c>
      <c r="K874" t="s">
        <v>8</v>
      </c>
      <c r="L874" t="s">
        <v>14</v>
      </c>
      <c r="M874" t="s">
        <v>26</v>
      </c>
      <c r="N874" t="s">
        <v>18</v>
      </c>
      <c r="O874">
        <v>8</v>
      </c>
      <c r="Q874" t="s">
        <v>50</v>
      </c>
      <c r="R874" t="str">
        <f t="shared" si="80"/>
        <v>13_27___07/24/2023_2023_MonMon_OWC_TR_RZ_Rz_8__Nutri</v>
      </c>
    </row>
    <row r="875" spans="1:18" s="6" customFormat="1" x14ac:dyDescent="0.25">
      <c r="A875" s="6">
        <v>13</v>
      </c>
      <c r="B875" s="6">
        <v>28</v>
      </c>
      <c r="E875" s="7">
        <v>45131</v>
      </c>
      <c r="F875" s="11">
        <f t="shared" si="79"/>
        <v>45131</v>
      </c>
      <c r="G875" s="6">
        <f t="shared" si="84"/>
        <v>2023</v>
      </c>
      <c r="H875" s="6">
        <f t="shared" si="85"/>
        <v>7</v>
      </c>
      <c r="I875" s="6">
        <f t="shared" si="86"/>
        <v>24</v>
      </c>
      <c r="J875" s="6" t="s">
        <v>10</v>
      </c>
      <c r="K875" s="6" t="s">
        <v>8</v>
      </c>
      <c r="L875" s="6" t="s">
        <v>28</v>
      </c>
      <c r="M875" s="6" t="s">
        <v>28</v>
      </c>
      <c r="N875" s="6" t="s">
        <v>27</v>
      </c>
      <c r="O875" s="6" t="s">
        <v>23</v>
      </c>
      <c r="Q875" s="6" t="s">
        <v>50</v>
      </c>
      <c r="R875" t="str">
        <f t="shared" si="80"/>
        <v>13_28___07/24/2023_2023_MonMon_OWC_OW_OW_Sip_A__Nutri</v>
      </c>
    </row>
    <row r="876" spans="1:18" s="6" customFormat="1" x14ac:dyDescent="0.25">
      <c r="A876" s="6">
        <v>13</v>
      </c>
      <c r="B876" s="6">
        <v>29</v>
      </c>
      <c r="E876" s="7">
        <v>45131</v>
      </c>
      <c r="F876" s="11">
        <f t="shared" si="79"/>
        <v>45131</v>
      </c>
      <c r="G876" s="6">
        <f t="shared" si="84"/>
        <v>2023</v>
      </c>
      <c r="H876" s="6">
        <f t="shared" si="85"/>
        <v>7</v>
      </c>
      <c r="I876" s="6">
        <f t="shared" si="86"/>
        <v>24</v>
      </c>
      <c r="J876" s="6" t="s">
        <v>10</v>
      </c>
      <c r="K876" s="6" t="s">
        <v>8</v>
      </c>
      <c r="L876" s="6" t="s">
        <v>28</v>
      </c>
      <c r="M876" s="6" t="s">
        <v>28</v>
      </c>
      <c r="N876" s="6" t="s">
        <v>27</v>
      </c>
      <c r="O876" s="6" t="s">
        <v>24</v>
      </c>
      <c r="Q876" s="6" t="s">
        <v>50</v>
      </c>
      <c r="R876" t="str">
        <f t="shared" si="80"/>
        <v>13_29___07/24/2023_2023_MonMon_OWC_OW_OW_Sip_B__Nutri</v>
      </c>
    </row>
    <row r="877" spans="1:18" s="6" customFormat="1" x14ac:dyDescent="0.25">
      <c r="A877" s="6">
        <v>13</v>
      </c>
      <c r="B877" s="6">
        <v>30</v>
      </c>
      <c r="E877" s="7">
        <v>45131</v>
      </c>
      <c r="F877" s="11">
        <f t="shared" si="79"/>
        <v>45131</v>
      </c>
      <c r="G877" s="6">
        <f t="shared" si="84"/>
        <v>2023</v>
      </c>
      <c r="H877" s="6">
        <f t="shared" si="85"/>
        <v>7</v>
      </c>
      <c r="I877" s="6">
        <f t="shared" si="86"/>
        <v>24</v>
      </c>
      <c r="J877" s="6" t="s">
        <v>10</v>
      </c>
      <c r="K877" s="6" t="s">
        <v>8</v>
      </c>
      <c r="L877" s="6" t="s">
        <v>28</v>
      </c>
      <c r="M877" s="6" t="s">
        <v>28</v>
      </c>
      <c r="N877" s="6" t="s">
        <v>27</v>
      </c>
      <c r="O877" s="6" t="s">
        <v>25</v>
      </c>
      <c r="Q877" s="6" t="s">
        <v>50</v>
      </c>
      <c r="R877" t="str">
        <f t="shared" si="80"/>
        <v>13_30___07/24/2023_2023_MonMon_OWC_OW_OW_Sip_C__Nutri</v>
      </c>
    </row>
    <row r="878" spans="1:18" x14ac:dyDescent="0.25">
      <c r="A878">
        <v>13</v>
      </c>
      <c r="B878">
        <v>31</v>
      </c>
      <c r="E878" s="1">
        <v>45131</v>
      </c>
      <c r="F878" s="11">
        <f t="shared" si="79"/>
        <v>45131</v>
      </c>
      <c r="G878">
        <f t="shared" si="84"/>
        <v>2023</v>
      </c>
      <c r="H878">
        <f t="shared" si="85"/>
        <v>7</v>
      </c>
      <c r="I878">
        <f t="shared" si="86"/>
        <v>24</v>
      </c>
      <c r="J878" t="s">
        <v>10</v>
      </c>
      <c r="K878" t="s">
        <v>8</v>
      </c>
      <c r="L878" t="s">
        <v>9</v>
      </c>
      <c r="M878" t="s">
        <v>33</v>
      </c>
      <c r="N878" t="s">
        <v>27</v>
      </c>
      <c r="O878" t="s">
        <v>23</v>
      </c>
      <c r="Q878" t="s">
        <v>50</v>
      </c>
      <c r="R878" t="str">
        <f t="shared" si="80"/>
        <v>13_31___07/24/2023_2023_MonMon_OWC_W_GW_Sip_A__Nutri</v>
      </c>
    </row>
    <row r="879" spans="1:18" x14ac:dyDescent="0.25">
      <c r="A879">
        <v>13</v>
      </c>
      <c r="B879">
        <v>32</v>
      </c>
      <c r="E879" s="1">
        <v>45131</v>
      </c>
      <c r="F879" s="11">
        <f t="shared" si="79"/>
        <v>45131</v>
      </c>
      <c r="G879">
        <f t="shared" si="84"/>
        <v>2023</v>
      </c>
      <c r="H879">
        <f t="shared" si="85"/>
        <v>7</v>
      </c>
      <c r="I879">
        <f t="shared" si="86"/>
        <v>24</v>
      </c>
      <c r="J879" t="s">
        <v>10</v>
      </c>
      <c r="K879" t="s">
        <v>8</v>
      </c>
      <c r="L879" t="s">
        <v>9</v>
      </c>
      <c r="M879" t="s">
        <v>33</v>
      </c>
      <c r="N879" t="s">
        <v>27</v>
      </c>
      <c r="O879" t="s">
        <v>24</v>
      </c>
      <c r="Q879" t="s">
        <v>50</v>
      </c>
      <c r="R879" t="str">
        <f t="shared" si="80"/>
        <v>13_32___07/24/2023_2023_MonMon_OWC_W_GW_Sip_B__Nutri</v>
      </c>
    </row>
    <row r="880" spans="1:18" x14ac:dyDescent="0.25">
      <c r="A880">
        <v>13</v>
      </c>
      <c r="B880">
        <v>33</v>
      </c>
      <c r="E880" s="1">
        <v>45131</v>
      </c>
      <c r="F880" s="11">
        <f t="shared" si="79"/>
        <v>45131</v>
      </c>
      <c r="G880">
        <f t="shared" si="84"/>
        <v>2023</v>
      </c>
      <c r="H880">
        <f t="shared" si="85"/>
        <v>7</v>
      </c>
      <c r="I880">
        <f t="shared" si="86"/>
        <v>24</v>
      </c>
      <c r="J880" t="s">
        <v>10</v>
      </c>
      <c r="K880" t="s">
        <v>8</v>
      </c>
      <c r="L880" t="s">
        <v>9</v>
      </c>
      <c r="M880" t="s">
        <v>33</v>
      </c>
      <c r="N880" t="s">
        <v>27</v>
      </c>
      <c r="O880" t="s">
        <v>25</v>
      </c>
      <c r="Q880" t="s">
        <v>50</v>
      </c>
      <c r="R880" t="str">
        <f t="shared" si="80"/>
        <v>13_33___07/24/2023_2023_MonMon_OWC_W_GW_Sip_C__Nutri</v>
      </c>
    </row>
    <row r="881" spans="1:18" x14ac:dyDescent="0.25">
      <c r="A881">
        <v>13</v>
      </c>
      <c r="B881">
        <v>34</v>
      </c>
      <c r="E881" s="1">
        <v>45132</v>
      </c>
      <c r="F881" s="11">
        <f t="shared" si="79"/>
        <v>45132</v>
      </c>
      <c r="G881">
        <f t="shared" si="84"/>
        <v>2023</v>
      </c>
      <c r="H881">
        <f t="shared" si="85"/>
        <v>7</v>
      </c>
      <c r="I881">
        <f t="shared" si="86"/>
        <v>25</v>
      </c>
      <c r="J881" t="s">
        <v>10</v>
      </c>
      <c r="K881" t="s">
        <v>8</v>
      </c>
      <c r="L881" t="s">
        <v>14</v>
      </c>
      <c r="M881" t="s">
        <v>26</v>
      </c>
      <c r="N881" t="s">
        <v>18</v>
      </c>
      <c r="O881">
        <v>1</v>
      </c>
      <c r="Q881" t="s">
        <v>50</v>
      </c>
      <c r="R881" t="str">
        <f t="shared" si="80"/>
        <v>13_34___07/25/2023_2023_MonMon_OWC_TR_RZ_Rz_1__Nutri</v>
      </c>
    </row>
    <row r="882" spans="1:18" x14ac:dyDescent="0.25">
      <c r="A882">
        <v>13</v>
      </c>
      <c r="B882">
        <v>35</v>
      </c>
      <c r="E882" s="1">
        <v>45132</v>
      </c>
      <c r="F882" s="11">
        <f t="shared" si="79"/>
        <v>45132</v>
      </c>
      <c r="G882">
        <f t="shared" si="84"/>
        <v>2023</v>
      </c>
      <c r="H882">
        <f t="shared" si="85"/>
        <v>7</v>
      </c>
      <c r="I882">
        <f t="shared" si="86"/>
        <v>25</v>
      </c>
      <c r="J882" t="s">
        <v>10</v>
      </c>
      <c r="K882" t="s">
        <v>8</v>
      </c>
      <c r="L882" t="s">
        <v>14</v>
      </c>
      <c r="M882" t="s">
        <v>26</v>
      </c>
      <c r="N882" t="s">
        <v>18</v>
      </c>
      <c r="O882">
        <v>2</v>
      </c>
      <c r="Q882" t="s">
        <v>50</v>
      </c>
      <c r="R882" t="str">
        <f t="shared" si="80"/>
        <v>13_35___07/25/2023_2023_MonMon_OWC_TR_RZ_Rz_2__Nutri</v>
      </c>
    </row>
    <row r="883" spans="1:18" x14ac:dyDescent="0.25">
      <c r="A883">
        <v>13</v>
      </c>
      <c r="B883">
        <v>36</v>
      </c>
      <c r="E883" s="1">
        <v>45132</v>
      </c>
      <c r="F883" s="11">
        <f t="shared" si="79"/>
        <v>45132</v>
      </c>
      <c r="G883">
        <f t="shared" si="84"/>
        <v>2023</v>
      </c>
      <c r="H883">
        <f t="shared" si="85"/>
        <v>7</v>
      </c>
      <c r="I883">
        <f t="shared" si="86"/>
        <v>25</v>
      </c>
      <c r="J883" t="s">
        <v>10</v>
      </c>
      <c r="K883" t="s">
        <v>8</v>
      </c>
      <c r="L883" t="s">
        <v>14</v>
      </c>
      <c r="M883" t="s">
        <v>26</v>
      </c>
      <c r="N883" t="s">
        <v>18</v>
      </c>
      <c r="O883">
        <v>4</v>
      </c>
      <c r="Q883" t="s">
        <v>50</v>
      </c>
      <c r="R883" t="str">
        <f t="shared" si="80"/>
        <v>13_36___07/25/2023_2023_MonMon_OWC_TR_RZ_Rz_4__Nutri</v>
      </c>
    </row>
    <row r="884" spans="1:18" x14ac:dyDescent="0.25">
      <c r="A884">
        <v>13</v>
      </c>
      <c r="B884">
        <v>37</v>
      </c>
      <c r="E884" s="1">
        <v>45132</v>
      </c>
      <c r="F884" s="11">
        <f t="shared" si="79"/>
        <v>45132</v>
      </c>
      <c r="G884">
        <f t="shared" si="84"/>
        <v>2023</v>
      </c>
      <c r="H884">
        <f t="shared" si="85"/>
        <v>7</v>
      </c>
      <c r="I884">
        <f t="shared" si="86"/>
        <v>25</v>
      </c>
      <c r="J884" t="s">
        <v>10</v>
      </c>
      <c r="K884" t="s">
        <v>8</v>
      </c>
      <c r="L884" t="s">
        <v>14</v>
      </c>
      <c r="M884" t="s">
        <v>26</v>
      </c>
      <c r="N884" t="s">
        <v>18</v>
      </c>
      <c r="O884">
        <v>4</v>
      </c>
      <c r="Q884" t="s">
        <v>50</v>
      </c>
      <c r="R884" t="str">
        <f t="shared" si="80"/>
        <v>13_37___07/25/2023_2023_MonMon_OWC_TR_RZ_Rz_4__Nutri</v>
      </c>
    </row>
    <row r="885" spans="1:18" x14ac:dyDescent="0.25">
      <c r="A885">
        <v>13</v>
      </c>
      <c r="B885">
        <v>38</v>
      </c>
      <c r="E885" s="1">
        <v>45132</v>
      </c>
      <c r="F885" s="11">
        <f t="shared" si="79"/>
        <v>45132</v>
      </c>
      <c r="G885">
        <f t="shared" si="84"/>
        <v>2023</v>
      </c>
      <c r="H885">
        <f t="shared" si="85"/>
        <v>7</v>
      </c>
      <c r="I885">
        <f t="shared" si="86"/>
        <v>25</v>
      </c>
      <c r="J885" t="s">
        <v>10</v>
      </c>
      <c r="K885" t="s">
        <v>8</v>
      </c>
      <c r="L885" t="s">
        <v>14</v>
      </c>
      <c r="M885" t="s">
        <v>26</v>
      </c>
      <c r="N885" t="s">
        <v>18</v>
      </c>
      <c r="O885">
        <v>5</v>
      </c>
      <c r="Q885" t="s">
        <v>50</v>
      </c>
      <c r="R885" t="str">
        <f t="shared" si="80"/>
        <v>13_38___07/25/2023_2023_MonMon_OWC_TR_RZ_Rz_5__Nutri</v>
      </c>
    </row>
    <row r="886" spans="1:18" x14ac:dyDescent="0.25">
      <c r="A886">
        <v>13</v>
      </c>
      <c r="B886">
        <v>39</v>
      </c>
      <c r="E886" s="1">
        <v>45132</v>
      </c>
      <c r="F886" s="11">
        <f t="shared" si="79"/>
        <v>45132</v>
      </c>
      <c r="G886">
        <f t="shared" si="84"/>
        <v>2023</v>
      </c>
      <c r="H886">
        <f t="shared" si="85"/>
        <v>7</v>
      </c>
      <c r="I886">
        <f t="shared" si="86"/>
        <v>25</v>
      </c>
      <c r="J886" t="s">
        <v>10</v>
      </c>
      <c r="K886" t="s">
        <v>8</v>
      </c>
      <c r="L886" t="s">
        <v>14</v>
      </c>
      <c r="M886" t="s">
        <v>26</v>
      </c>
      <c r="N886" t="s">
        <v>18</v>
      </c>
      <c r="O886">
        <v>6</v>
      </c>
      <c r="Q886" t="s">
        <v>50</v>
      </c>
      <c r="R886" t="str">
        <f t="shared" si="80"/>
        <v>13_39___07/25/2023_2023_MonMon_OWC_TR_RZ_Rz_6__Nutri</v>
      </c>
    </row>
    <row r="887" spans="1:18" x14ac:dyDescent="0.25">
      <c r="A887">
        <v>13</v>
      </c>
      <c r="B887">
        <v>40</v>
      </c>
      <c r="E887" s="1">
        <v>45132</v>
      </c>
      <c r="F887" s="11">
        <f t="shared" si="79"/>
        <v>45132</v>
      </c>
      <c r="G887">
        <f t="shared" si="84"/>
        <v>2023</v>
      </c>
      <c r="H887">
        <f t="shared" si="85"/>
        <v>7</v>
      </c>
      <c r="I887">
        <f t="shared" si="86"/>
        <v>25</v>
      </c>
      <c r="J887" t="s">
        <v>10</v>
      </c>
      <c r="K887" t="s">
        <v>8</v>
      </c>
      <c r="L887" t="s">
        <v>14</v>
      </c>
      <c r="M887" t="s">
        <v>26</v>
      </c>
      <c r="N887" t="s">
        <v>18</v>
      </c>
      <c r="O887">
        <v>7</v>
      </c>
      <c r="Q887" t="s">
        <v>50</v>
      </c>
      <c r="R887" t="str">
        <f t="shared" si="80"/>
        <v>13_40___07/25/2023_2023_MonMon_OWC_TR_RZ_Rz_7__Nutri</v>
      </c>
    </row>
    <row r="888" spans="1:18" x14ac:dyDescent="0.25">
      <c r="A888">
        <v>13</v>
      </c>
      <c r="B888">
        <v>41</v>
      </c>
      <c r="E888" s="1">
        <v>45132</v>
      </c>
      <c r="F888" s="11">
        <f t="shared" si="79"/>
        <v>45132</v>
      </c>
      <c r="G888">
        <f t="shared" si="84"/>
        <v>2023</v>
      </c>
      <c r="H888">
        <f t="shared" si="85"/>
        <v>7</v>
      </c>
      <c r="I888">
        <f t="shared" si="86"/>
        <v>25</v>
      </c>
      <c r="J888" t="s">
        <v>10</v>
      </c>
      <c r="K888" t="s">
        <v>8</v>
      </c>
      <c r="L888" t="s">
        <v>14</v>
      </c>
      <c r="M888" t="s">
        <v>26</v>
      </c>
      <c r="N888" t="s">
        <v>18</v>
      </c>
      <c r="O888">
        <v>8</v>
      </c>
      <c r="Q888" t="s">
        <v>50</v>
      </c>
      <c r="R888" t="str">
        <f t="shared" si="80"/>
        <v>13_41___07/25/2023_2023_MonMon_OWC_TR_RZ_Rz_8__Nutri</v>
      </c>
    </row>
    <row r="889" spans="1:18" x14ac:dyDescent="0.25">
      <c r="A889">
        <v>13</v>
      </c>
      <c r="B889">
        <v>42</v>
      </c>
      <c r="E889" s="1">
        <v>45132</v>
      </c>
      <c r="F889" s="11">
        <f t="shared" si="79"/>
        <v>45132</v>
      </c>
      <c r="G889">
        <f t="shared" si="84"/>
        <v>2023</v>
      </c>
      <c r="H889">
        <f t="shared" si="85"/>
        <v>7</v>
      </c>
      <c r="I889">
        <f t="shared" si="86"/>
        <v>25</v>
      </c>
      <c r="J889" t="s">
        <v>10</v>
      </c>
      <c r="K889" t="s">
        <v>8</v>
      </c>
      <c r="L889" t="s">
        <v>14</v>
      </c>
      <c r="M889" t="s">
        <v>26</v>
      </c>
      <c r="N889" t="s">
        <v>18</v>
      </c>
      <c r="O889">
        <v>8</v>
      </c>
      <c r="Q889" t="s">
        <v>50</v>
      </c>
      <c r="R889" t="str">
        <f t="shared" si="80"/>
        <v>13_42___07/25/2023_2023_MonMon_OWC_TR_RZ_Rz_8__Nutri</v>
      </c>
    </row>
    <row r="890" spans="1:18" x14ac:dyDescent="0.25">
      <c r="A890">
        <v>13</v>
      </c>
      <c r="B890">
        <v>43</v>
      </c>
      <c r="E890" s="1">
        <v>45134</v>
      </c>
      <c r="F890" s="11">
        <f t="shared" si="79"/>
        <v>45134</v>
      </c>
      <c r="G890">
        <f t="shared" ref="G890:G891" si="87">YEAR(E890)</f>
        <v>2023</v>
      </c>
      <c r="H890">
        <f t="shared" ref="H890:H891" si="88">MONTH(E890)</f>
        <v>7</v>
      </c>
      <c r="I890">
        <f t="shared" ref="I890:I891" si="89">DAY(E890)</f>
        <v>27</v>
      </c>
      <c r="J890" t="s">
        <v>10</v>
      </c>
      <c r="K890" t="s">
        <v>13</v>
      </c>
      <c r="L890" t="s">
        <v>9</v>
      </c>
      <c r="M890" t="s">
        <v>11</v>
      </c>
      <c r="N890" t="s">
        <v>27</v>
      </c>
      <c r="O890" t="s">
        <v>23</v>
      </c>
      <c r="P890">
        <v>10</v>
      </c>
      <c r="Q890" t="s">
        <v>50</v>
      </c>
      <c r="R890" t="str">
        <f t="shared" si="80"/>
        <v>13_43___07/27/2023_2023_MonMon_PTR_W_PW_Sip_A_10_Nutri</v>
      </c>
    </row>
    <row r="891" spans="1:18" x14ac:dyDescent="0.25">
      <c r="A891">
        <v>13</v>
      </c>
      <c r="B891">
        <v>44</v>
      </c>
      <c r="E891" s="1">
        <v>45134</v>
      </c>
      <c r="F891" s="11">
        <f t="shared" si="79"/>
        <v>45134</v>
      </c>
      <c r="G891">
        <f t="shared" si="87"/>
        <v>2023</v>
      </c>
      <c r="H891">
        <f t="shared" si="88"/>
        <v>7</v>
      </c>
      <c r="I891">
        <f t="shared" si="89"/>
        <v>27</v>
      </c>
      <c r="J891" t="s">
        <v>10</v>
      </c>
      <c r="K891" t="s">
        <v>13</v>
      </c>
      <c r="L891" t="s">
        <v>9</v>
      </c>
      <c r="M891" t="s">
        <v>11</v>
      </c>
      <c r="N891" t="s">
        <v>27</v>
      </c>
      <c r="O891" t="s">
        <v>23</v>
      </c>
      <c r="P891">
        <v>20</v>
      </c>
      <c r="Q891" t="s">
        <v>50</v>
      </c>
      <c r="R891" t="str">
        <f t="shared" si="80"/>
        <v>13_44___07/27/2023_2023_MonMon_PTR_W_PW_Sip_A_20_Nutri</v>
      </c>
    </row>
    <row r="892" spans="1:18" x14ac:dyDescent="0.25">
      <c r="A892">
        <v>13</v>
      </c>
      <c r="B892">
        <v>45</v>
      </c>
      <c r="E892" s="1">
        <v>45134</v>
      </c>
      <c r="F892" s="11">
        <f t="shared" si="79"/>
        <v>45134</v>
      </c>
      <c r="G892">
        <f t="shared" ref="G892:G912" si="90">YEAR(E892)</f>
        <v>2023</v>
      </c>
      <c r="H892">
        <f t="shared" ref="H892:H912" si="91">MONTH(E892)</f>
        <v>7</v>
      </c>
      <c r="I892">
        <f t="shared" ref="I892:I912" si="92">DAY(E892)</f>
        <v>27</v>
      </c>
      <c r="J892" t="s">
        <v>10</v>
      </c>
      <c r="K892" t="s">
        <v>13</v>
      </c>
      <c r="L892" t="s">
        <v>9</v>
      </c>
      <c r="M892" t="s">
        <v>11</v>
      </c>
      <c r="N892" t="s">
        <v>27</v>
      </c>
      <c r="O892" t="s">
        <v>23</v>
      </c>
      <c r="P892">
        <v>45</v>
      </c>
      <c r="Q892" t="s">
        <v>50</v>
      </c>
      <c r="R892" t="str">
        <f t="shared" si="80"/>
        <v>13_45___07/27/2023_2023_MonMon_PTR_W_PW_Sip_A_45_Nutri</v>
      </c>
    </row>
    <row r="893" spans="1:18" x14ac:dyDescent="0.25">
      <c r="A893">
        <v>13</v>
      </c>
      <c r="B893">
        <v>46</v>
      </c>
      <c r="E893" s="1">
        <v>45134</v>
      </c>
      <c r="F893" s="11">
        <f t="shared" si="79"/>
        <v>45134</v>
      </c>
      <c r="G893">
        <f t="shared" si="90"/>
        <v>2023</v>
      </c>
      <c r="H893">
        <f t="shared" si="91"/>
        <v>7</v>
      </c>
      <c r="I893">
        <f t="shared" si="92"/>
        <v>27</v>
      </c>
      <c r="J893" t="s">
        <v>10</v>
      </c>
      <c r="K893" t="s">
        <v>13</v>
      </c>
      <c r="L893" t="s">
        <v>9</v>
      </c>
      <c r="M893" t="s">
        <v>11</v>
      </c>
      <c r="N893" t="s">
        <v>27</v>
      </c>
      <c r="O893" t="s">
        <v>24</v>
      </c>
      <c r="P893">
        <v>10</v>
      </c>
      <c r="Q893" t="s">
        <v>50</v>
      </c>
      <c r="R893" t="str">
        <f t="shared" si="80"/>
        <v>13_46___07/27/2023_2023_MonMon_PTR_W_PW_Sip_B_10_Nutri</v>
      </c>
    </row>
    <row r="894" spans="1:18" x14ac:dyDescent="0.25">
      <c r="A894">
        <v>13</v>
      </c>
      <c r="B894">
        <v>47</v>
      </c>
      <c r="E894" s="1">
        <v>45134</v>
      </c>
      <c r="F894" s="11">
        <f t="shared" si="79"/>
        <v>45134</v>
      </c>
      <c r="G894">
        <f t="shared" si="90"/>
        <v>2023</v>
      </c>
      <c r="H894">
        <f t="shared" si="91"/>
        <v>7</v>
      </c>
      <c r="I894">
        <f t="shared" si="92"/>
        <v>27</v>
      </c>
      <c r="J894" t="s">
        <v>10</v>
      </c>
      <c r="K894" t="s">
        <v>13</v>
      </c>
      <c r="L894" t="s">
        <v>9</v>
      </c>
      <c r="M894" t="s">
        <v>11</v>
      </c>
      <c r="N894" t="s">
        <v>27</v>
      </c>
      <c r="O894" t="s">
        <v>24</v>
      </c>
      <c r="P894">
        <v>20</v>
      </c>
      <c r="Q894" t="s">
        <v>50</v>
      </c>
      <c r="R894" t="str">
        <f t="shared" si="80"/>
        <v>13_47___07/27/2023_2023_MonMon_PTR_W_PW_Sip_B_20_Nutri</v>
      </c>
    </row>
    <row r="895" spans="1:18" x14ac:dyDescent="0.25">
      <c r="A895">
        <v>13</v>
      </c>
      <c r="B895">
        <v>48</v>
      </c>
      <c r="E895" s="1">
        <v>45134</v>
      </c>
      <c r="F895" s="11">
        <f t="shared" si="79"/>
        <v>45134</v>
      </c>
      <c r="G895">
        <f t="shared" si="90"/>
        <v>2023</v>
      </c>
      <c r="H895">
        <f t="shared" si="91"/>
        <v>7</v>
      </c>
      <c r="I895">
        <f t="shared" si="92"/>
        <v>27</v>
      </c>
      <c r="J895" t="s">
        <v>10</v>
      </c>
      <c r="K895" t="s">
        <v>13</v>
      </c>
      <c r="L895" t="s">
        <v>9</v>
      </c>
      <c r="M895" t="s">
        <v>11</v>
      </c>
      <c r="N895" t="s">
        <v>27</v>
      </c>
      <c r="O895" t="s">
        <v>24</v>
      </c>
      <c r="P895">
        <v>45</v>
      </c>
      <c r="Q895" t="s">
        <v>50</v>
      </c>
      <c r="R895" t="str">
        <f t="shared" si="80"/>
        <v>13_48___07/27/2023_2023_MonMon_PTR_W_PW_Sip_B_45_Nutri</v>
      </c>
    </row>
    <row r="896" spans="1:18" x14ac:dyDescent="0.25">
      <c r="A896">
        <v>13</v>
      </c>
      <c r="B896">
        <v>49</v>
      </c>
      <c r="E896" s="1">
        <v>45134</v>
      </c>
      <c r="F896" s="11">
        <f t="shared" si="79"/>
        <v>45134</v>
      </c>
      <c r="G896">
        <f t="shared" si="90"/>
        <v>2023</v>
      </c>
      <c r="H896">
        <f t="shared" si="91"/>
        <v>7</v>
      </c>
      <c r="I896">
        <f t="shared" si="92"/>
        <v>27</v>
      </c>
      <c r="J896" t="s">
        <v>10</v>
      </c>
      <c r="K896" t="s">
        <v>13</v>
      </c>
      <c r="L896" t="s">
        <v>9</v>
      </c>
      <c r="M896" t="s">
        <v>11</v>
      </c>
      <c r="N896" t="s">
        <v>27</v>
      </c>
      <c r="O896" t="s">
        <v>25</v>
      </c>
      <c r="P896">
        <v>10</v>
      </c>
      <c r="Q896" t="s">
        <v>50</v>
      </c>
      <c r="R896" t="str">
        <f t="shared" si="80"/>
        <v>13_49___07/27/2023_2023_MonMon_PTR_W_PW_Sip_C_10_Nutri</v>
      </c>
    </row>
    <row r="897" spans="1:18" x14ac:dyDescent="0.25">
      <c r="A897">
        <v>13</v>
      </c>
      <c r="B897">
        <v>50</v>
      </c>
      <c r="E897" s="1">
        <v>45134</v>
      </c>
      <c r="F897" s="11">
        <f t="shared" si="79"/>
        <v>45134</v>
      </c>
      <c r="G897">
        <f t="shared" si="90"/>
        <v>2023</v>
      </c>
      <c r="H897">
        <f t="shared" si="91"/>
        <v>7</v>
      </c>
      <c r="I897">
        <f t="shared" si="92"/>
        <v>27</v>
      </c>
      <c r="J897" t="s">
        <v>10</v>
      </c>
      <c r="K897" t="s">
        <v>13</v>
      </c>
      <c r="L897" t="s">
        <v>9</v>
      </c>
      <c r="M897" t="s">
        <v>11</v>
      </c>
      <c r="N897" t="s">
        <v>27</v>
      </c>
      <c r="O897" t="s">
        <v>25</v>
      </c>
      <c r="P897">
        <v>20</v>
      </c>
      <c r="Q897" t="s">
        <v>50</v>
      </c>
      <c r="R897" t="str">
        <f t="shared" si="80"/>
        <v>13_50___07/27/2023_2023_MonMon_PTR_W_PW_Sip_C_20_Nutri</v>
      </c>
    </row>
    <row r="898" spans="1:18" x14ac:dyDescent="0.25">
      <c r="A898">
        <v>13</v>
      </c>
      <c r="B898">
        <v>51</v>
      </c>
      <c r="E898" s="1">
        <v>45134</v>
      </c>
      <c r="F898" s="11">
        <f t="shared" si="79"/>
        <v>45134</v>
      </c>
      <c r="G898">
        <f t="shared" si="90"/>
        <v>2023</v>
      </c>
      <c r="H898">
        <f t="shared" si="91"/>
        <v>7</v>
      </c>
      <c r="I898">
        <f t="shared" si="92"/>
        <v>27</v>
      </c>
      <c r="J898" t="s">
        <v>10</v>
      </c>
      <c r="K898" t="s">
        <v>13</v>
      </c>
      <c r="L898" t="s">
        <v>9</v>
      </c>
      <c r="M898" t="s">
        <v>11</v>
      </c>
      <c r="N898" t="s">
        <v>27</v>
      </c>
      <c r="O898" t="s">
        <v>25</v>
      </c>
      <c r="P898">
        <v>45</v>
      </c>
      <c r="Q898" t="s">
        <v>50</v>
      </c>
      <c r="R898" t="str">
        <f t="shared" si="80"/>
        <v>13_51___07/27/2023_2023_MonMon_PTR_W_PW_Sip_C_45_Nutri</v>
      </c>
    </row>
    <row r="899" spans="1:18" x14ac:dyDescent="0.25">
      <c r="A899">
        <v>13</v>
      </c>
      <c r="B899">
        <v>52</v>
      </c>
      <c r="E899" s="1">
        <v>45134</v>
      </c>
      <c r="F899" s="11">
        <f t="shared" ref="F899:F962" si="93">E899</f>
        <v>45134</v>
      </c>
      <c r="G899">
        <f t="shared" si="90"/>
        <v>2023</v>
      </c>
      <c r="H899">
        <f t="shared" si="91"/>
        <v>7</v>
      </c>
      <c r="I899">
        <f t="shared" si="92"/>
        <v>27</v>
      </c>
      <c r="J899" t="s">
        <v>10</v>
      </c>
      <c r="K899" t="s">
        <v>13</v>
      </c>
      <c r="L899" t="s">
        <v>14</v>
      </c>
      <c r="M899" t="s">
        <v>11</v>
      </c>
      <c r="N899" t="s">
        <v>15</v>
      </c>
      <c r="O899" t="s">
        <v>23</v>
      </c>
      <c r="P899">
        <v>10</v>
      </c>
      <c r="Q899" t="s">
        <v>50</v>
      </c>
      <c r="R899" t="str">
        <f t="shared" ref="R899:R962" si="94">CONCATENATE(A899,"_",B899,"_", C899,"_",D899,"_",TEXT(E899, "mm/dd/yyyy"),"_",G899,"_",J899,"_",K899,"_",L899,"_",M899,"_",N899,"_",O899,"_",P899,"_",Q899)</f>
        <v>13_52___07/27/2023_2023_MonMon_PTR_TR_PW_Lys_A_10_Nutri</v>
      </c>
    </row>
    <row r="900" spans="1:18" x14ac:dyDescent="0.25">
      <c r="A900">
        <v>13</v>
      </c>
      <c r="B900">
        <v>53</v>
      </c>
      <c r="E900" s="1">
        <v>45134</v>
      </c>
      <c r="F900" s="11">
        <f t="shared" si="93"/>
        <v>45134</v>
      </c>
      <c r="G900">
        <f t="shared" si="90"/>
        <v>2023</v>
      </c>
      <c r="H900">
        <f t="shared" si="91"/>
        <v>7</v>
      </c>
      <c r="I900">
        <f t="shared" si="92"/>
        <v>27</v>
      </c>
      <c r="J900" t="s">
        <v>10</v>
      </c>
      <c r="K900" t="s">
        <v>13</v>
      </c>
      <c r="L900" t="s">
        <v>14</v>
      </c>
      <c r="M900" t="s">
        <v>11</v>
      </c>
      <c r="N900" t="s">
        <v>15</v>
      </c>
      <c r="O900" t="s">
        <v>23</v>
      </c>
      <c r="P900">
        <v>20</v>
      </c>
      <c r="Q900" t="s">
        <v>50</v>
      </c>
      <c r="R900" t="str">
        <f t="shared" si="94"/>
        <v>13_53___07/27/2023_2023_MonMon_PTR_TR_PW_Lys_A_20_Nutri</v>
      </c>
    </row>
    <row r="901" spans="1:18" x14ac:dyDescent="0.25">
      <c r="A901">
        <v>13</v>
      </c>
      <c r="B901">
        <v>54</v>
      </c>
      <c r="E901" s="1">
        <v>45134</v>
      </c>
      <c r="F901" s="11">
        <f t="shared" si="93"/>
        <v>45134</v>
      </c>
      <c r="G901">
        <f t="shared" si="90"/>
        <v>2023</v>
      </c>
      <c r="H901">
        <f t="shared" si="91"/>
        <v>7</v>
      </c>
      <c r="I901">
        <f t="shared" si="92"/>
        <v>27</v>
      </c>
      <c r="J901" t="s">
        <v>10</v>
      </c>
      <c r="K901" t="s">
        <v>13</v>
      </c>
      <c r="L901" t="s">
        <v>14</v>
      </c>
      <c r="M901" t="s">
        <v>11</v>
      </c>
      <c r="N901" t="s">
        <v>15</v>
      </c>
      <c r="O901" t="s">
        <v>24</v>
      </c>
      <c r="P901">
        <v>10</v>
      </c>
      <c r="Q901" t="s">
        <v>50</v>
      </c>
      <c r="R901" t="str">
        <f t="shared" si="94"/>
        <v>13_54___07/27/2023_2023_MonMon_PTR_TR_PW_Lys_B_10_Nutri</v>
      </c>
    </row>
    <row r="902" spans="1:18" x14ac:dyDescent="0.25">
      <c r="A902">
        <v>13</v>
      </c>
      <c r="B902">
        <v>55</v>
      </c>
      <c r="E902" s="1">
        <v>45134</v>
      </c>
      <c r="F902" s="11">
        <f t="shared" si="93"/>
        <v>45134</v>
      </c>
      <c r="G902">
        <f t="shared" si="90"/>
        <v>2023</v>
      </c>
      <c r="H902">
        <f t="shared" si="91"/>
        <v>7</v>
      </c>
      <c r="I902">
        <f t="shared" si="92"/>
        <v>27</v>
      </c>
      <c r="J902" t="s">
        <v>10</v>
      </c>
      <c r="K902" t="s">
        <v>13</v>
      </c>
      <c r="L902" t="s">
        <v>14</v>
      </c>
      <c r="M902" t="s">
        <v>11</v>
      </c>
      <c r="N902" t="s">
        <v>15</v>
      </c>
      <c r="O902" t="s">
        <v>25</v>
      </c>
      <c r="P902">
        <v>10</v>
      </c>
      <c r="Q902" t="s">
        <v>50</v>
      </c>
      <c r="R902" t="str">
        <f t="shared" si="94"/>
        <v>13_55___07/27/2023_2023_MonMon_PTR_TR_PW_Lys_C_10_Nutri</v>
      </c>
    </row>
    <row r="903" spans="1:18" x14ac:dyDescent="0.25">
      <c r="A903">
        <v>13</v>
      </c>
      <c r="B903">
        <v>56</v>
      </c>
      <c r="E903" s="1">
        <v>45134</v>
      </c>
      <c r="F903" s="11">
        <f t="shared" si="93"/>
        <v>45134</v>
      </c>
      <c r="G903">
        <f t="shared" si="90"/>
        <v>2023</v>
      </c>
      <c r="H903">
        <f t="shared" si="91"/>
        <v>7</v>
      </c>
      <c r="I903">
        <f t="shared" si="92"/>
        <v>27</v>
      </c>
      <c r="J903" t="s">
        <v>10</v>
      </c>
      <c r="K903" t="s">
        <v>13</v>
      </c>
      <c r="L903" t="s">
        <v>14</v>
      </c>
      <c r="M903" t="s">
        <v>11</v>
      </c>
      <c r="N903" t="s">
        <v>15</v>
      </c>
      <c r="O903" t="s">
        <v>25</v>
      </c>
      <c r="P903">
        <v>20</v>
      </c>
      <c r="Q903" t="s">
        <v>50</v>
      </c>
      <c r="R903" t="str">
        <f t="shared" si="94"/>
        <v>13_56___07/27/2023_2023_MonMon_PTR_TR_PW_Lys_C_20_Nutri</v>
      </c>
    </row>
    <row r="904" spans="1:18" x14ac:dyDescent="0.25">
      <c r="A904">
        <v>13</v>
      </c>
      <c r="B904">
        <v>57</v>
      </c>
      <c r="E904" s="1">
        <v>45134</v>
      </c>
      <c r="F904" s="11">
        <f t="shared" si="93"/>
        <v>45134</v>
      </c>
      <c r="G904">
        <f t="shared" si="90"/>
        <v>2023</v>
      </c>
      <c r="H904">
        <f t="shared" si="91"/>
        <v>7</v>
      </c>
      <c r="I904">
        <f t="shared" si="92"/>
        <v>27</v>
      </c>
      <c r="J904" t="s">
        <v>10</v>
      </c>
      <c r="K904" t="s">
        <v>13</v>
      </c>
      <c r="L904" t="s">
        <v>9</v>
      </c>
      <c r="M904" t="s">
        <v>33</v>
      </c>
      <c r="N904" t="s">
        <v>27</v>
      </c>
      <c r="O904" t="s">
        <v>23</v>
      </c>
      <c r="Q904" t="s">
        <v>50</v>
      </c>
      <c r="R904" t="str">
        <f t="shared" si="94"/>
        <v>13_57___07/27/2023_2023_MonMon_PTR_W_GW_Sip_A__Nutri</v>
      </c>
    </row>
    <row r="905" spans="1:18" x14ac:dyDescent="0.25">
      <c r="A905">
        <v>13</v>
      </c>
      <c r="B905">
        <v>58</v>
      </c>
      <c r="E905" s="1">
        <v>45134</v>
      </c>
      <c r="F905" s="11">
        <f t="shared" si="93"/>
        <v>45134</v>
      </c>
      <c r="G905">
        <f t="shared" si="90"/>
        <v>2023</v>
      </c>
      <c r="H905">
        <f t="shared" si="91"/>
        <v>7</v>
      </c>
      <c r="I905">
        <f t="shared" si="92"/>
        <v>27</v>
      </c>
      <c r="J905" t="s">
        <v>10</v>
      </c>
      <c r="K905" t="s">
        <v>13</v>
      </c>
      <c r="L905" t="s">
        <v>9</v>
      </c>
      <c r="M905" t="s">
        <v>33</v>
      </c>
      <c r="N905" t="s">
        <v>27</v>
      </c>
      <c r="O905" t="s">
        <v>24</v>
      </c>
      <c r="Q905" t="s">
        <v>50</v>
      </c>
      <c r="R905" t="str">
        <f t="shared" si="94"/>
        <v>13_58___07/27/2023_2023_MonMon_PTR_W_GW_Sip_B__Nutri</v>
      </c>
    </row>
    <row r="906" spans="1:18" x14ac:dyDescent="0.25">
      <c r="A906">
        <v>13</v>
      </c>
      <c r="B906">
        <v>59</v>
      </c>
      <c r="E906" s="1">
        <v>45134</v>
      </c>
      <c r="F906" s="11">
        <f t="shared" si="93"/>
        <v>45134</v>
      </c>
      <c r="G906">
        <f t="shared" si="90"/>
        <v>2023</v>
      </c>
      <c r="H906">
        <f t="shared" si="91"/>
        <v>7</v>
      </c>
      <c r="I906">
        <f t="shared" si="92"/>
        <v>27</v>
      </c>
      <c r="J906" t="s">
        <v>10</v>
      </c>
      <c r="K906" t="s">
        <v>13</v>
      </c>
      <c r="L906" t="s">
        <v>9</v>
      </c>
      <c r="M906" t="s">
        <v>33</v>
      </c>
      <c r="N906" t="s">
        <v>27</v>
      </c>
      <c r="O906" t="s">
        <v>25</v>
      </c>
      <c r="Q906" t="s">
        <v>50</v>
      </c>
      <c r="R906" t="str">
        <f t="shared" si="94"/>
        <v>13_59___07/27/2023_2023_MonMon_PTR_W_GW_Sip_C__Nutri</v>
      </c>
    </row>
    <row r="907" spans="1:18" x14ac:dyDescent="0.25">
      <c r="A907">
        <v>13</v>
      </c>
      <c r="B907">
        <v>60</v>
      </c>
      <c r="E907" s="1">
        <v>45134</v>
      </c>
      <c r="F907" s="11">
        <f t="shared" si="93"/>
        <v>45134</v>
      </c>
      <c r="G907">
        <f t="shared" si="90"/>
        <v>2023</v>
      </c>
      <c r="H907">
        <f t="shared" si="91"/>
        <v>7</v>
      </c>
      <c r="I907">
        <f t="shared" si="92"/>
        <v>27</v>
      </c>
      <c r="J907" t="s">
        <v>10</v>
      </c>
      <c r="K907" t="s">
        <v>13</v>
      </c>
      <c r="L907" t="s">
        <v>14</v>
      </c>
      <c r="M907" t="s">
        <v>33</v>
      </c>
      <c r="N907" t="s">
        <v>27</v>
      </c>
      <c r="O907" t="s">
        <v>23</v>
      </c>
      <c r="Q907" t="s">
        <v>50</v>
      </c>
      <c r="R907" t="str">
        <f t="shared" si="94"/>
        <v>13_60___07/27/2023_2023_MonMon_PTR_TR_GW_Sip_A__Nutri</v>
      </c>
    </row>
    <row r="908" spans="1:18" x14ac:dyDescent="0.25">
      <c r="A908">
        <v>13</v>
      </c>
      <c r="B908">
        <v>61</v>
      </c>
      <c r="E908" s="1">
        <v>45134</v>
      </c>
      <c r="F908" s="11">
        <f t="shared" si="93"/>
        <v>45134</v>
      </c>
      <c r="G908">
        <f t="shared" si="90"/>
        <v>2023</v>
      </c>
      <c r="H908">
        <f t="shared" si="91"/>
        <v>7</v>
      </c>
      <c r="I908">
        <f t="shared" si="92"/>
        <v>27</v>
      </c>
      <c r="J908" t="s">
        <v>10</v>
      </c>
      <c r="K908" t="s">
        <v>13</v>
      </c>
      <c r="L908" t="s">
        <v>14</v>
      </c>
      <c r="M908" t="s">
        <v>33</v>
      </c>
      <c r="N908" t="s">
        <v>27</v>
      </c>
      <c r="O908" t="s">
        <v>24</v>
      </c>
      <c r="Q908" t="s">
        <v>50</v>
      </c>
      <c r="R908" t="str">
        <f t="shared" si="94"/>
        <v>13_61___07/27/2023_2023_MonMon_PTR_TR_GW_Sip_B__Nutri</v>
      </c>
    </row>
    <row r="909" spans="1:18" x14ac:dyDescent="0.25">
      <c r="A909">
        <v>13</v>
      </c>
      <c r="B909">
        <v>62</v>
      </c>
      <c r="E909" s="1">
        <v>45134</v>
      </c>
      <c r="F909" s="11">
        <f t="shared" si="93"/>
        <v>45134</v>
      </c>
      <c r="G909">
        <f t="shared" si="90"/>
        <v>2023</v>
      </c>
      <c r="H909">
        <f t="shared" si="91"/>
        <v>7</v>
      </c>
      <c r="I909">
        <f t="shared" si="92"/>
        <v>27</v>
      </c>
      <c r="J909" t="s">
        <v>10</v>
      </c>
      <c r="K909" t="s">
        <v>13</v>
      </c>
      <c r="L909" t="s">
        <v>14</v>
      </c>
      <c r="M909" t="s">
        <v>33</v>
      </c>
      <c r="N909" t="s">
        <v>27</v>
      </c>
      <c r="O909" t="s">
        <v>25</v>
      </c>
      <c r="Q909" t="s">
        <v>50</v>
      </c>
      <c r="R909" t="str">
        <f t="shared" si="94"/>
        <v>13_62___07/27/2023_2023_MonMon_PTR_TR_GW_Sip_C__Nutri</v>
      </c>
    </row>
    <row r="910" spans="1:18" x14ac:dyDescent="0.25">
      <c r="A910">
        <v>13</v>
      </c>
      <c r="B910">
        <v>63</v>
      </c>
      <c r="E910" s="1">
        <v>45134</v>
      </c>
      <c r="F910" s="11">
        <f t="shared" si="93"/>
        <v>45134</v>
      </c>
      <c r="G910">
        <f t="shared" si="90"/>
        <v>2023</v>
      </c>
      <c r="H910">
        <f t="shared" si="91"/>
        <v>7</v>
      </c>
      <c r="I910">
        <f t="shared" si="92"/>
        <v>27</v>
      </c>
      <c r="J910" t="s">
        <v>10</v>
      </c>
      <c r="K910" t="s">
        <v>13</v>
      </c>
      <c r="L910" t="s">
        <v>17</v>
      </c>
      <c r="M910" t="s">
        <v>33</v>
      </c>
      <c r="N910" t="s">
        <v>27</v>
      </c>
      <c r="O910" t="s">
        <v>23</v>
      </c>
      <c r="Q910" t="s">
        <v>50</v>
      </c>
      <c r="R910" t="str">
        <f t="shared" si="94"/>
        <v>13_63___07/27/2023_2023_MonMon_PTR_UP_GW_Sip_A__Nutri</v>
      </c>
    </row>
    <row r="911" spans="1:18" x14ac:dyDescent="0.25">
      <c r="A911">
        <v>13</v>
      </c>
      <c r="B911">
        <v>64</v>
      </c>
      <c r="E911" s="1">
        <v>45134</v>
      </c>
      <c r="F911" s="11">
        <f t="shared" si="93"/>
        <v>45134</v>
      </c>
      <c r="G911">
        <f t="shared" si="90"/>
        <v>2023</v>
      </c>
      <c r="H911">
        <f t="shared" si="91"/>
        <v>7</v>
      </c>
      <c r="I911">
        <f t="shared" si="92"/>
        <v>27</v>
      </c>
      <c r="J911" t="s">
        <v>10</v>
      </c>
      <c r="K911" t="s">
        <v>13</v>
      </c>
      <c r="L911" t="s">
        <v>17</v>
      </c>
      <c r="M911" t="s">
        <v>33</v>
      </c>
      <c r="N911" t="s">
        <v>27</v>
      </c>
      <c r="O911" t="s">
        <v>24</v>
      </c>
      <c r="Q911" t="s">
        <v>50</v>
      </c>
      <c r="R911" t="str">
        <f t="shared" si="94"/>
        <v>13_64___07/27/2023_2023_MonMon_PTR_UP_GW_Sip_B__Nutri</v>
      </c>
    </row>
    <row r="912" spans="1:18" x14ac:dyDescent="0.25">
      <c r="A912">
        <v>13</v>
      </c>
      <c r="B912">
        <v>65</v>
      </c>
      <c r="E912" s="1">
        <v>45134</v>
      </c>
      <c r="F912" s="11">
        <f t="shared" si="93"/>
        <v>45134</v>
      </c>
      <c r="G912">
        <f t="shared" si="90"/>
        <v>2023</v>
      </c>
      <c r="H912">
        <f t="shared" si="91"/>
        <v>7</v>
      </c>
      <c r="I912">
        <f t="shared" si="92"/>
        <v>27</v>
      </c>
      <c r="J912" t="s">
        <v>10</v>
      </c>
      <c r="K912" t="s">
        <v>13</v>
      </c>
      <c r="L912" t="s">
        <v>17</v>
      </c>
      <c r="M912" t="s">
        <v>33</v>
      </c>
      <c r="N912" t="s">
        <v>27</v>
      </c>
      <c r="O912" t="s">
        <v>25</v>
      </c>
      <c r="Q912" t="s">
        <v>50</v>
      </c>
      <c r="R912" t="str">
        <f t="shared" si="94"/>
        <v>13_65___07/27/2023_2023_MonMon_PTR_UP_GW_Sip_C__Nutri</v>
      </c>
    </row>
    <row r="913" spans="1:18" x14ac:dyDescent="0.25">
      <c r="A913">
        <v>13</v>
      </c>
      <c r="B913">
        <v>66</v>
      </c>
      <c r="E913" s="1">
        <v>45141</v>
      </c>
      <c r="F913" s="11">
        <f t="shared" si="93"/>
        <v>45141</v>
      </c>
      <c r="G913">
        <f t="shared" ref="G913:G914" si="95">YEAR(E913)</f>
        <v>2023</v>
      </c>
      <c r="H913">
        <f t="shared" ref="H913:H914" si="96">MONTH(E913)</f>
        <v>8</v>
      </c>
      <c r="I913">
        <f t="shared" ref="I913:I914" si="97">DAY(E913)</f>
        <v>3</v>
      </c>
      <c r="J913" t="s">
        <v>10</v>
      </c>
      <c r="K913" t="s">
        <v>16</v>
      </c>
      <c r="L913" t="s">
        <v>9</v>
      </c>
      <c r="M913" t="s">
        <v>11</v>
      </c>
      <c r="N913" t="s">
        <v>27</v>
      </c>
      <c r="O913" t="s">
        <v>23</v>
      </c>
      <c r="P913">
        <v>10</v>
      </c>
      <c r="Q913" t="s">
        <v>50</v>
      </c>
      <c r="R913" t="str">
        <f t="shared" si="94"/>
        <v>13_66___08/03/2023_2023_MonMon_CRC_W_PW_Sip_A_10_Nutri</v>
      </c>
    </row>
    <row r="914" spans="1:18" x14ac:dyDescent="0.25">
      <c r="A914">
        <v>13</v>
      </c>
      <c r="B914">
        <v>67</v>
      </c>
      <c r="E914" s="1">
        <v>45141</v>
      </c>
      <c r="F914" s="11">
        <f t="shared" si="93"/>
        <v>45141</v>
      </c>
      <c r="G914">
        <f t="shared" si="95"/>
        <v>2023</v>
      </c>
      <c r="H914">
        <f t="shared" si="96"/>
        <v>8</v>
      </c>
      <c r="I914">
        <f t="shared" si="97"/>
        <v>3</v>
      </c>
      <c r="J914" t="s">
        <v>10</v>
      </c>
      <c r="K914" t="s">
        <v>16</v>
      </c>
      <c r="L914" t="s">
        <v>9</v>
      </c>
      <c r="M914" t="s">
        <v>11</v>
      </c>
      <c r="N914" t="s">
        <v>27</v>
      </c>
      <c r="O914" t="s">
        <v>23</v>
      </c>
      <c r="P914">
        <v>20</v>
      </c>
      <c r="Q914" t="s">
        <v>50</v>
      </c>
      <c r="R914" t="str">
        <f t="shared" si="94"/>
        <v>13_67___08/03/2023_2023_MonMon_CRC_W_PW_Sip_A_20_Nutri</v>
      </c>
    </row>
    <row r="915" spans="1:18" x14ac:dyDescent="0.25">
      <c r="A915">
        <v>13</v>
      </c>
      <c r="B915">
        <v>68</v>
      </c>
      <c r="E915" s="1">
        <v>45141</v>
      </c>
      <c r="F915" s="11">
        <f t="shared" si="93"/>
        <v>45141</v>
      </c>
      <c r="G915">
        <f t="shared" ref="G915:G945" si="98">YEAR(E915)</f>
        <v>2023</v>
      </c>
      <c r="H915">
        <f t="shared" ref="H915:H945" si="99">MONTH(E915)</f>
        <v>8</v>
      </c>
      <c r="I915">
        <f t="shared" ref="I915:I945" si="100">DAY(E915)</f>
        <v>3</v>
      </c>
      <c r="J915" t="s">
        <v>10</v>
      </c>
      <c r="K915" t="s">
        <v>16</v>
      </c>
      <c r="L915" t="s">
        <v>9</v>
      </c>
      <c r="M915" t="s">
        <v>11</v>
      </c>
      <c r="N915" t="s">
        <v>27</v>
      </c>
      <c r="O915" t="s">
        <v>23</v>
      </c>
      <c r="P915">
        <v>45</v>
      </c>
      <c r="Q915" t="s">
        <v>50</v>
      </c>
      <c r="R915" t="str">
        <f t="shared" si="94"/>
        <v>13_68___08/03/2023_2023_MonMon_CRC_W_PW_Sip_A_45_Nutri</v>
      </c>
    </row>
    <row r="916" spans="1:18" x14ac:dyDescent="0.25">
      <c r="A916">
        <v>13</v>
      </c>
      <c r="B916">
        <v>69</v>
      </c>
      <c r="E916" s="1">
        <v>45141</v>
      </c>
      <c r="F916" s="11">
        <f t="shared" si="93"/>
        <v>45141</v>
      </c>
      <c r="G916">
        <f t="shared" si="98"/>
        <v>2023</v>
      </c>
      <c r="H916">
        <f t="shared" si="99"/>
        <v>8</v>
      </c>
      <c r="I916">
        <f t="shared" si="100"/>
        <v>3</v>
      </c>
      <c r="J916" t="s">
        <v>10</v>
      </c>
      <c r="K916" t="s">
        <v>16</v>
      </c>
      <c r="L916" t="s">
        <v>9</v>
      </c>
      <c r="M916" t="s">
        <v>11</v>
      </c>
      <c r="N916" t="s">
        <v>27</v>
      </c>
      <c r="O916" t="s">
        <v>24</v>
      </c>
      <c r="P916">
        <v>10</v>
      </c>
      <c r="Q916" t="s">
        <v>50</v>
      </c>
      <c r="R916" t="str">
        <f t="shared" si="94"/>
        <v>13_69___08/03/2023_2023_MonMon_CRC_W_PW_Sip_B_10_Nutri</v>
      </c>
    </row>
    <row r="917" spans="1:18" x14ac:dyDescent="0.25">
      <c r="A917">
        <v>13</v>
      </c>
      <c r="B917">
        <v>70</v>
      </c>
      <c r="E917" s="1">
        <v>45141</v>
      </c>
      <c r="F917" s="11">
        <f t="shared" si="93"/>
        <v>45141</v>
      </c>
      <c r="G917">
        <f t="shared" si="98"/>
        <v>2023</v>
      </c>
      <c r="H917">
        <f t="shared" si="99"/>
        <v>8</v>
      </c>
      <c r="I917">
        <f t="shared" si="100"/>
        <v>3</v>
      </c>
      <c r="J917" t="s">
        <v>10</v>
      </c>
      <c r="K917" t="s">
        <v>16</v>
      </c>
      <c r="L917" t="s">
        <v>9</v>
      </c>
      <c r="M917" t="s">
        <v>11</v>
      </c>
      <c r="N917" t="s">
        <v>27</v>
      </c>
      <c r="O917" t="s">
        <v>24</v>
      </c>
      <c r="P917">
        <v>20</v>
      </c>
      <c r="Q917" t="s">
        <v>50</v>
      </c>
      <c r="R917" t="str">
        <f t="shared" si="94"/>
        <v>13_70___08/03/2023_2023_MonMon_CRC_W_PW_Sip_B_20_Nutri</v>
      </c>
    </row>
    <row r="918" spans="1:18" x14ac:dyDescent="0.25">
      <c r="A918">
        <v>13</v>
      </c>
      <c r="B918">
        <v>71</v>
      </c>
      <c r="E918" s="1">
        <v>45141</v>
      </c>
      <c r="F918" s="11">
        <f t="shared" si="93"/>
        <v>45141</v>
      </c>
      <c r="G918">
        <f t="shared" si="98"/>
        <v>2023</v>
      </c>
      <c r="H918">
        <f t="shared" si="99"/>
        <v>8</v>
      </c>
      <c r="I918">
        <f t="shared" si="100"/>
        <v>3</v>
      </c>
      <c r="J918" t="s">
        <v>10</v>
      </c>
      <c r="K918" t="s">
        <v>16</v>
      </c>
      <c r="L918" t="s">
        <v>9</v>
      </c>
      <c r="M918" t="s">
        <v>11</v>
      </c>
      <c r="N918" t="s">
        <v>27</v>
      </c>
      <c r="O918" t="s">
        <v>24</v>
      </c>
      <c r="P918">
        <v>45</v>
      </c>
      <c r="Q918" t="s">
        <v>50</v>
      </c>
      <c r="R918" t="str">
        <f t="shared" si="94"/>
        <v>13_71___08/03/2023_2023_MonMon_CRC_W_PW_Sip_B_45_Nutri</v>
      </c>
    </row>
    <row r="919" spans="1:18" x14ac:dyDescent="0.25">
      <c r="A919">
        <v>13</v>
      </c>
      <c r="B919">
        <v>72</v>
      </c>
      <c r="E919" s="1">
        <v>45141</v>
      </c>
      <c r="F919" s="11">
        <f t="shared" si="93"/>
        <v>45141</v>
      </c>
      <c r="G919">
        <f t="shared" si="98"/>
        <v>2023</v>
      </c>
      <c r="H919">
        <f t="shared" si="99"/>
        <v>8</v>
      </c>
      <c r="I919">
        <f t="shared" si="100"/>
        <v>3</v>
      </c>
      <c r="J919" t="s">
        <v>10</v>
      </c>
      <c r="K919" t="s">
        <v>16</v>
      </c>
      <c r="L919" t="s">
        <v>9</v>
      </c>
      <c r="M919" t="s">
        <v>11</v>
      </c>
      <c r="N919" t="s">
        <v>27</v>
      </c>
      <c r="O919" t="s">
        <v>25</v>
      </c>
      <c r="P919">
        <v>10</v>
      </c>
      <c r="Q919" t="s">
        <v>50</v>
      </c>
      <c r="R919" t="str">
        <f t="shared" si="94"/>
        <v>13_72___08/03/2023_2023_MonMon_CRC_W_PW_Sip_C_10_Nutri</v>
      </c>
    </row>
    <row r="920" spans="1:18" x14ac:dyDescent="0.25">
      <c r="A920">
        <v>13</v>
      </c>
      <c r="B920">
        <v>73</v>
      </c>
      <c r="E920" s="1">
        <v>45141</v>
      </c>
      <c r="F920" s="11">
        <f t="shared" si="93"/>
        <v>45141</v>
      </c>
      <c r="G920">
        <f t="shared" si="98"/>
        <v>2023</v>
      </c>
      <c r="H920">
        <f t="shared" si="99"/>
        <v>8</v>
      </c>
      <c r="I920">
        <f t="shared" si="100"/>
        <v>3</v>
      </c>
      <c r="J920" t="s">
        <v>10</v>
      </c>
      <c r="K920" t="s">
        <v>16</v>
      </c>
      <c r="L920" t="s">
        <v>9</v>
      </c>
      <c r="M920" t="s">
        <v>11</v>
      </c>
      <c r="N920" t="s">
        <v>27</v>
      </c>
      <c r="O920" t="s">
        <v>25</v>
      </c>
      <c r="P920">
        <v>20</v>
      </c>
      <c r="Q920" t="s">
        <v>50</v>
      </c>
      <c r="R920" t="str">
        <f t="shared" si="94"/>
        <v>13_73___08/03/2023_2023_MonMon_CRC_W_PW_Sip_C_20_Nutri</v>
      </c>
    </row>
    <row r="921" spans="1:18" x14ac:dyDescent="0.25">
      <c r="A921">
        <v>13</v>
      </c>
      <c r="B921">
        <v>74</v>
      </c>
      <c r="E921" s="1">
        <v>45141</v>
      </c>
      <c r="F921" s="11">
        <f t="shared" si="93"/>
        <v>45141</v>
      </c>
      <c r="G921">
        <f t="shared" si="98"/>
        <v>2023</v>
      </c>
      <c r="H921">
        <f t="shared" si="99"/>
        <v>8</v>
      </c>
      <c r="I921">
        <f t="shared" si="100"/>
        <v>3</v>
      </c>
      <c r="J921" t="s">
        <v>10</v>
      </c>
      <c r="K921" t="s">
        <v>16</v>
      </c>
      <c r="L921" t="s">
        <v>9</v>
      </c>
      <c r="M921" t="s">
        <v>11</v>
      </c>
      <c r="N921" t="s">
        <v>27</v>
      </c>
      <c r="O921" t="s">
        <v>25</v>
      </c>
      <c r="P921">
        <v>45</v>
      </c>
      <c r="Q921" t="s">
        <v>50</v>
      </c>
      <c r="R921" t="str">
        <f t="shared" si="94"/>
        <v>13_74___08/03/2023_2023_MonMon_CRC_W_PW_Sip_C_45_Nutri</v>
      </c>
    </row>
    <row r="922" spans="1:18" x14ac:dyDescent="0.25">
      <c r="A922">
        <v>13</v>
      </c>
      <c r="B922">
        <v>75</v>
      </c>
      <c r="E922" s="1">
        <v>45141</v>
      </c>
      <c r="F922" s="11">
        <f t="shared" si="93"/>
        <v>45141</v>
      </c>
      <c r="G922">
        <f t="shared" si="98"/>
        <v>2023</v>
      </c>
      <c r="H922">
        <f t="shared" si="99"/>
        <v>8</v>
      </c>
      <c r="I922">
        <f t="shared" si="100"/>
        <v>3</v>
      </c>
      <c r="J922" t="s">
        <v>10</v>
      </c>
      <c r="K922" t="s">
        <v>16</v>
      </c>
      <c r="L922" t="s">
        <v>14</v>
      </c>
      <c r="M922" t="s">
        <v>11</v>
      </c>
      <c r="N922" t="s">
        <v>15</v>
      </c>
      <c r="O922" t="s">
        <v>23</v>
      </c>
      <c r="P922">
        <v>10</v>
      </c>
      <c r="Q922" t="s">
        <v>50</v>
      </c>
      <c r="R922" t="str">
        <f t="shared" si="94"/>
        <v>13_75___08/03/2023_2023_MonMon_CRC_TR_PW_Lys_A_10_Nutri</v>
      </c>
    </row>
    <row r="923" spans="1:18" x14ac:dyDescent="0.25">
      <c r="A923">
        <v>13</v>
      </c>
      <c r="B923">
        <v>76</v>
      </c>
      <c r="E923" s="1">
        <v>45141</v>
      </c>
      <c r="F923" s="11">
        <f t="shared" si="93"/>
        <v>45141</v>
      </c>
      <c r="G923">
        <f t="shared" si="98"/>
        <v>2023</v>
      </c>
      <c r="H923">
        <f t="shared" si="99"/>
        <v>8</v>
      </c>
      <c r="I923">
        <f t="shared" si="100"/>
        <v>3</v>
      </c>
      <c r="J923" t="s">
        <v>10</v>
      </c>
      <c r="K923" t="s">
        <v>16</v>
      </c>
      <c r="L923" t="s">
        <v>14</v>
      </c>
      <c r="M923" t="s">
        <v>11</v>
      </c>
      <c r="N923" t="s">
        <v>15</v>
      </c>
      <c r="O923" t="s">
        <v>23</v>
      </c>
      <c r="P923">
        <v>20</v>
      </c>
      <c r="Q923" t="s">
        <v>50</v>
      </c>
      <c r="R923" t="str">
        <f t="shared" si="94"/>
        <v>13_76___08/03/2023_2023_MonMon_CRC_TR_PW_Lys_A_20_Nutri</v>
      </c>
    </row>
    <row r="924" spans="1:18" x14ac:dyDescent="0.25">
      <c r="A924">
        <v>13</v>
      </c>
      <c r="B924">
        <v>77</v>
      </c>
      <c r="E924" s="1">
        <v>45141</v>
      </c>
      <c r="F924" s="11">
        <f t="shared" si="93"/>
        <v>45141</v>
      </c>
      <c r="G924">
        <f t="shared" si="98"/>
        <v>2023</v>
      </c>
      <c r="H924">
        <f t="shared" si="99"/>
        <v>8</v>
      </c>
      <c r="I924">
        <f t="shared" si="100"/>
        <v>3</v>
      </c>
      <c r="J924" t="s">
        <v>10</v>
      </c>
      <c r="K924" t="s">
        <v>16</v>
      </c>
      <c r="L924" t="s">
        <v>14</v>
      </c>
      <c r="M924" t="s">
        <v>11</v>
      </c>
      <c r="N924" t="s">
        <v>15</v>
      </c>
      <c r="O924" t="s">
        <v>23</v>
      </c>
      <c r="P924">
        <v>45</v>
      </c>
      <c r="Q924" t="s">
        <v>50</v>
      </c>
      <c r="R924" t="str">
        <f t="shared" si="94"/>
        <v>13_77___08/03/2023_2023_MonMon_CRC_TR_PW_Lys_A_45_Nutri</v>
      </c>
    </row>
    <row r="925" spans="1:18" x14ac:dyDescent="0.25">
      <c r="A925">
        <v>13</v>
      </c>
      <c r="B925">
        <v>78</v>
      </c>
      <c r="E925" s="1">
        <v>45141</v>
      </c>
      <c r="F925" s="11">
        <f t="shared" si="93"/>
        <v>45141</v>
      </c>
      <c r="G925">
        <f t="shared" si="98"/>
        <v>2023</v>
      </c>
      <c r="H925">
        <f t="shared" si="99"/>
        <v>8</v>
      </c>
      <c r="I925">
        <f t="shared" si="100"/>
        <v>3</v>
      </c>
      <c r="J925" t="s">
        <v>10</v>
      </c>
      <c r="K925" t="s">
        <v>16</v>
      </c>
      <c r="L925" t="s">
        <v>14</v>
      </c>
      <c r="M925" t="s">
        <v>11</v>
      </c>
      <c r="N925" t="s">
        <v>15</v>
      </c>
      <c r="O925" t="s">
        <v>24</v>
      </c>
      <c r="P925">
        <v>10</v>
      </c>
      <c r="Q925" t="s">
        <v>50</v>
      </c>
      <c r="R925" t="str">
        <f t="shared" si="94"/>
        <v>13_78___08/03/2023_2023_MonMon_CRC_TR_PW_Lys_B_10_Nutri</v>
      </c>
    </row>
    <row r="926" spans="1:18" x14ac:dyDescent="0.25">
      <c r="A926">
        <v>13</v>
      </c>
      <c r="B926">
        <v>79</v>
      </c>
      <c r="E926" s="1">
        <v>45141</v>
      </c>
      <c r="F926" s="11">
        <f t="shared" si="93"/>
        <v>45141</v>
      </c>
      <c r="G926">
        <f t="shared" si="98"/>
        <v>2023</v>
      </c>
      <c r="H926">
        <f t="shared" si="99"/>
        <v>8</v>
      </c>
      <c r="I926">
        <f t="shared" si="100"/>
        <v>3</v>
      </c>
      <c r="J926" t="s">
        <v>10</v>
      </c>
      <c r="K926" t="s">
        <v>16</v>
      </c>
      <c r="L926" t="s">
        <v>14</v>
      </c>
      <c r="M926" t="s">
        <v>11</v>
      </c>
      <c r="N926" t="s">
        <v>15</v>
      </c>
      <c r="O926" t="s">
        <v>24</v>
      </c>
      <c r="P926">
        <v>20</v>
      </c>
      <c r="Q926" t="s">
        <v>50</v>
      </c>
      <c r="R926" t="str">
        <f t="shared" si="94"/>
        <v>13_79___08/03/2023_2023_MonMon_CRC_TR_PW_Lys_B_20_Nutri</v>
      </c>
    </row>
    <row r="927" spans="1:18" x14ac:dyDescent="0.25">
      <c r="A927">
        <v>13</v>
      </c>
      <c r="B927">
        <v>80</v>
      </c>
      <c r="E927" s="1">
        <v>45141</v>
      </c>
      <c r="F927" s="11">
        <f t="shared" si="93"/>
        <v>45141</v>
      </c>
      <c r="G927">
        <f t="shared" si="98"/>
        <v>2023</v>
      </c>
      <c r="H927">
        <f t="shared" si="99"/>
        <v>8</v>
      </c>
      <c r="I927">
        <f t="shared" si="100"/>
        <v>3</v>
      </c>
      <c r="J927" t="s">
        <v>10</v>
      </c>
      <c r="K927" t="s">
        <v>16</v>
      </c>
      <c r="L927" t="s">
        <v>14</v>
      </c>
      <c r="M927" t="s">
        <v>11</v>
      </c>
      <c r="N927" t="s">
        <v>15</v>
      </c>
      <c r="O927" t="s">
        <v>24</v>
      </c>
      <c r="P927">
        <v>45</v>
      </c>
      <c r="Q927" t="s">
        <v>50</v>
      </c>
      <c r="R927" t="str">
        <f t="shared" si="94"/>
        <v>13_80___08/03/2023_2023_MonMon_CRC_TR_PW_Lys_B_45_Nutri</v>
      </c>
    </row>
    <row r="928" spans="1:18" x14ac:dyDescent="0.25">
      <c r="A928">
        <v>13</v>
      </c>
      <c r="B928">
        <v>81</v>
      </c>
      <c r="E928" s="1">
        <v>45141</v>
      </c>
      <c r="F928" s="11">
        <f t="shared" si="93"/>
        <v>45141</v>
      </c>
      <c r="G928">
        <f t="shared" si="98"/>
        <v>2023</v>
      </c>
      <c r="H928">
        <f t="shared" si="99"/>
        <v>8</v>
      </c>
      <c r="I928">
        <f t="shared" si="100"/>
        <v>3</v>
      </c>
      <c r="J928" t="s">
        <v>10</v>
      </c>
      <c r="K928" t="s">
        <v>16</v>
      </c>
      <c r="L928" t="s">
        <v>14</v>
      </c>
      <c r="M928" t="s">
        <v>11</v>
      </c>
      <c r="N928" t="s">
        <v>15</v>
      </c>
      <c r="O928" t="s">
        <v>25</v>
      </c>
      <c r="P928">
        <v>10</v>
      </c>
      <c r="Q928" t="s">
        <v>50</v>
      </c>
      <c r="R928" t="str">
        <f t="shared" si="94"/>
        <v>13_81___08/03/2023_2023_MonMon_CRC_TR_PW_Lys_C_10_Nutri</v>
      </c>
    </row>
    <row r="929" spans="1:18" x14ac:dyDescent="0.25">
      <c r="A929">
        <v>13</v>
      </c>
      <c r="B929">
        <v>82</v>
      </c>
      <c r="E929" s="1">
        <v>45141</v>
      </c>
      <c r="F929" s="11">
        <f t="shared" si="93"/>
        <v>45141</v>
      </c>
      <c r="G929">
        <f t="shared" si="98"/>
        <v>2023</v>
      </c>
      <c r="H929">
        <f t="shared" si="99"/>
        <v>8</v>
      </c>
      <c r="I929">
        <f t="shared" si="100"/>
        <v>3</v>
      </c>
      <c r="J929" t="s">
        <v>10</v>
      </c>
      <c r="K929" t="s">
        <v>16</v>
      </c>
      <c r="L929" t="s">
        <v>14</v>
      </c>
      <c r="M929" t="s">
        <v>11</v>
      </c>
      <c r="N929" t="s">
        <v>15</v>
      </c>
      <c r="O929" t="s">
        <v>25</v>
      </c>
      <c r="P929">
        <v>20</v>
      </c>
      <c r="Q929" t="s">
        <v>50</v>
      </c>
      <c r="R929" t="str">
        <f t="shared" si="94"/>
        <v>13_82___08/03/2023_2023_MonMon_CRC_TR_PW_Lys_C_20_Nutri</v>
      </c>
    </row>
    <row r="930" spans="1:18" x14ac:dyDescent="0.25">
      <c r="A930">
        <v>13</v>
      </c>
      <c r="B930">
        <v>83</v>
      </c>
      <c r="E930" s="1">
        <v>45141</v>
      </c>
      <c r="F930" s="11">
        <f t="shared" si="93"/>
        <v>45141</v>
      </c>
      <c r="G930">
        <f t="shared" si="98"/>
        <v>2023</v>
      </c>
      <c r="H930">
        <f t="shared" si="99"/>
        <v>8</v>
      </c>
      <c r="I930">
        <f t="shared" si="100"/>
        <v>3</v>
      </c>
      <c r="J930" t="s">
        <v>10</v>
      </c>
      <c r="K930" t="s">
        <v>16</v>
      </c>
      <c r="L930" t="s">
        <v>14</v>
      </c>
      <c r="M930" t="s">
        <v>11</v>
      </c>
      <c r="N930" t="s">
        <v>15</v>
      </c>
      <c r="O930" t="s">
        <v>25</v>
      </c>
      <c r="P930">
        <v>45</v>
      </c>
      <c r="Q930" t="s">
        <v>50</v>
      </c>
      <c r="R930" t="str">
        <f t="shared" si="94"/>
        <v>13_83___08/03/2023_2023_MonMon_CRC_TR_PW_Lys_C_45_Nutri</v>
      </c>
    </row>
    <row r="931" spans="1:18" x14ac:dyDescent="0.25">
      <c r="A931">
        <v>13</v>
      </c>
      <c r="B931">
        <v>84</v>
      </c>
      <c r="E931" s="1">
        <v>45141</v>
      </c>
      <c r="F931" s="11">
        <f t="shared" si="93"/>
        <v>45141</v>
      </c>
      <c r="G931">
        <f t="shared" si="98"/>
        <v>2023</v>
      </c>
      <c r="H931">
        <f t="shared" si="99"/>
        <v>8</v>
      </c>
      <c r="I931">
        <f t="shared" si="100"/>
        <v>3</v>
      </c>
      <c r="J931" t="s">
        <v>10</v>
      </c>
      <c r="K931" t="s">
        <v>16</v>
      </c>
      <c r="L931" t="s">
        <v>14</v>
      </c>
      <c r="M931" t="s">
        <v>26</v>
      </c>
      <c r="N931" t="s">
        <v>18</v>
      </c>
      <c r="O931">
        <v>4</v>
      </c>
      <c r="Q931" t="s">
        <v>50</v>
      </c>
      <c r="R931" t="str">
        <f t="shared" si="94"/>
        <v>13_84___08/03/2023_2023_MonMon_CRC_TR_RZ_Rz_4__Nutri</v>
      </c>
    </row>
    <row r="932" spans="1:18" x14ac:dyDescent="0.25">
      <c r="A932">
        <v>13</v>
      </c>
      <c r="B932">
        <v>85</v>
      </c>
      <c r="E932" s="1">
        <v>45141</v>
      </c>
      <c r="F932" s="11">
        <f t="shared" si="93"/>
        <v>45141</v>
      </c>
      <c r="G932">
        <f t="shared" si="98"/>
        <v>2023</v>
      </c>
      <c r="H932">
        <f t="shared" si="99"/>
        <v>8</v>
      </c>
      <c r="I932">
        <f t="shared" si="100"/>
        <v>3</v>
      </c>
      <c r="J932" t="s">
        <v>10</v>
      </c>
      <c r="K932" t="s">
        <v>16</v>
      </c>
      <c r="L932" t="s">
        <v>14</v>
      </c>
      <c r="M932" t="s">
        <v>26</v>
      </c>
      <c r="N932" t="s">
        <v>18</v>
      </c>
      <c r="O932">
        <v>5</v>
      </c>
      <c r="Q932" t="s">
        <v>50</v>
      </c>
      <c r="R932" t="str">
        <f t="shared" si="94"/>
        <v>13_85___08/03/2023_2023_MonMon_CRC_TR_RZ_Rz_5__Nutri</v>
      </c>
    </row>
    <row r="933" spans="1:18" x14ac:dyDescent="0.25">
      <c r="A933">
        <v>13</v>
      </c>
      <c r="B933">
        <v>86</v>
      </c>
      <c r="E933" s="1">
        <v>45141</v>
      </c>
      <c r="F933" s="11">
        <f t="shared" si="93"/>
        <v>45141</v>
      </c>
      <c r="G933">
        <f t="shared" si="98"/>
        <v>2023</v>
      </c>
      <c r="H933">
        <f t="shared" si="99"/>
        <v>8</v>
      </c>
      <c r="I933">
        <f t="shared" si="100"/>
        <v>3</v>
      </c>
      <c r="J933" t="s">
        <v>10</v>
      </c>
      <c r="K933" t="s">
        <v>16</v>
      </c>
      <c r="L933" t="s">
        <v>14</v>
      </c>
      <c r="M933" t="s">
        <v>26</v>
      </c>
      <c r="N933" t="s">
        <v>18</v>
      </c>
      <c r="O933">
        <v>7</v>
      </c>
      <c r="Q933" t="s">
        <v>50</v>
      </c>
      <c r="R933" t="str">
        <f t="shared" si="94"/>
        <v>13_86___08/03/2023_2023_MonMon_CRC_TR_RZ_Rz_7__Nutri</v>
      </c>
    </row>
    <row r="934" spans="1:18" s="6" customFormat="1" x14ac:dyDescent="0.25">
      <c r="A934" s="6">
        <v>13</v>
      </c>
      <c r="B934" s="6">
        <v>87</v>
      </c>
      <c r="E934" s="7">
        <v>45141</v>
      </c>
      <c r="F934" s="11">
        <f t="shared" si="93"/>
        <v>45141</v>
      </c>
      <c r="G934" s="6">
        <f t="shared" si="98"/>
        <v>2023</v>
      </c>
      <c r="H934" s="6">
        <f t="shared" si="99"/>
        <v>8</v>
      </c>
      <c r="I934" s="6">
        <f t="shared" si="100"/>
        <v>3</v>
      </c>
      <c r="J934" s="6" t="s">
        <v>10</v>
      </c>
      <c r="K934" s="6" t="s">
        <v>16</v>
      </c>
      <c r="L934" s="6" t="s">
        <v>28</v>
      </c>
      <c r="M934" s="6" t="s">
        <v>28</v>
      </c>
      <c r="N934" s="6" t="s">
        <v>27</v>
      </c>
      <c r="O934" s="6" t="s">
        <v>23</v>
      </c>
      <c r="Q934" s="6" t="s">
        <v>50</v>
      </c>
      <c r="R934" t="str">
        <f t="shared" si="94"/>
        <v>13_87___08/03/2023_2023_MonMon_CRC_OW_OW_Sip_A__Nutri</v>
      </c>
    </row>
    <row r="935" spans="1:18" s="6" customFormat="1" x14ac:dyDescent="0.25">
      <c r="A935" s="6">
        <v>13</v>
      </c>
      <c r="B935" s="6">
        <v>88</v>
      </c>
      <c r="E935" s="7">
        <v>45141</v>
      </c>
      <c r="F935" s="11">
        <f t="shared" si="93"/>
        <v>45141</v>
      </c>
      <c r="G935" s="6">
        <f t="shared" si="98"/>
        <v>2023</v>
      </c>
      <c r="H935" s="6">
        <f t="shared" si="99"/>
        <v>8</v>
      </c>
      <c r="I935" s="6">
        <f t="shared" si="100"/>
        <v>3</v>
      </c>
      <c r="J935" s="6" t="s">
        <v>10</v>
      </c>
      <c r="K935" s="6" t="s">
        <v>16</v>
      </c>
      <c r="L935" s="6" t="s">
        <v>28</v>
      </c>
      <c r="M935" s="6" t="s">
        <v>28</v>
      </c>
      <c r="N935" s="6" t="s">
        <v>27</v>
      </c>
      <c r="O935" s="6" t="s">
        <v>24</v>
      </c>
      <c r="Q935" s="6" t="s">
        <v>50</v>
      </c>
      <c r="R935" t="str">
        <f t="shared" si="94"/>
        <v>13_88___08/03/2023_2023_MonMon_CRC_OW_OW_Sip_B__Nutri</v>
      </c>
    </row>
    <row r="936" spans="1:18" s="6" customFormat="1" x14ac:dyDescent="0.25">
      <c r="A936" s="6">
        <v>13</v>
      </c>
      <c r="B936" s="6">
        <v>89</v>
      </c>
      <c r="E936" s="7">
        <v>45141</v>
      </c>
      <c r="F936" s="11">
        <f t="shared" si="93"/>
        <v>45141</v>
      </c>
      <c r="G936" s="6">
        <f t="shared" si="98"/>
        <v>2023</v>
      </c>
      <c r="H936" s="6">
        <f t="shared" si="99"/>
        <v>8</v>
      </c>
      <c r="I936" s="6">
        <f t="shared" si="100"/>
        <v>3</v>
      </c>
      <c r="J936" s="6" t="s">
        <v>10</v>
      </c>
      <c r="K936" s="6" t="s">
        <v>16</v>
      </c>
      <c r="L936" s="6" t="s">
        <v>28</v>
      </c>
      <c r="M936" s="6" t="s">
        <v>28</v>
      </c>
      <c r="N936" s="6" t="s">
        <v>27</v>
      </c>
      <c r="O936" s="6" t="s">
        <v>25</v>
      </c>
      <c r="Q936" s="6" t="s">
        <v>50</v>
      </c>
      <c r="R936" t="str">
        <f t="shared" si="94"/>
        <v>13_89___08/03/2023_2023_MonMon_CRC_OW_OW_Sip_C__Nutri</v>
      </c>
    </row>
    <row r="937" spans="1:18" x14ac:dyDescent="0.25">
      <c r="A937">
        <v>13</v>
      </c>
      <c r="B937">
        <v>90</v>
      </c>
      <c r="E937" s="1">
        <v>45141</v>
      </c>
      <c r="F937" s="11">
        <f t="shared" si="93"/>
        <v>45141</v>
      </c>
      <c r="G937">
        <f t="shared" si="98"/>
        <v>2023</v>
      </c>
      <c r="H937">
        <f t="shared" si="99"/>
        <v>8</v>
      </c>
      <c r="I937">
        <f t="shared" si="100"/>
        <v>3</v>
      </c>
      <c r="J937" t="s">
        <v>10</v>
      </c>
      <c r="K937" t="s">
        <v>16</v>
      </c>
      <c r="L937" t="s">
        <v>9</v>
      </c>
      <c r="M937" t="s">
        <v>33</v>
      </c>
      <c r="N937" t="s">
        <v>27</v>
      </c>
      <c r="O937" t="s">
        <v>23</v>
      </c>
      <c r="Q937" t="s">
        <v>50</v>
      </c>
      <c r="R937" t="str">
        <f t="shared" si="94"/>
        <v>13_90___08/03/2023_2023_MonMon_CRC_W_GW_Sip_A__Nutri</v>
      </c>
    </row>
    <row r="938" spans="1:18" x14ac:dyDescent="0.25">
      <c r="A938">
        <v>13</v>
      </c>
      <c r="B938">
        <v>91</v>
      </c>
      <c r="E938" s="1">
        <v>45141</v>
      </c>
      <c r="F938" s="11">
        <f t="shared" si="93"/>
        <v>45141</v>
      </c>
      <c r="G938">
        <f t="shared" si="98"/>
        <v>2023</v>
      </c>
      <c r="H938">
        <f t="shared" si="99"/>
        <v>8</v>
      </c>
      <c r="I938">
        <f t="shared" si="100"/>
        <v>3</v>
      </c>
      <c r="J938" t="s">
        <v>10</v>
      </c>
      <c r="K938" t="s">
        <v>16</v>
      </c>
      <c r="L938" t="s">
        <v>9</v>
      </c>
      <c r="M938" t="s">
        <v>33</v>
      </c>
      <c r="N938" t="s">
        <v>27</v>
      </c>
      <c r="O938" t="s">
        <v>24</v>
      </c>
      <c r="Q938" t="s">
        <v>50</v>
      </c>
      <c r="R938" t="str">
        <f t="shared" si="94"/>
        <v>13_91___08/03/2023_2023_MonMon_CRC_W_GW_Sip_B__Nutri</v>
      </c>
    </row>
    <row r="939" spans="1:18" x14ac:dyDescent="0.25">
      <c r="A939">
        <v>13</v>
      </c>
      <c r="B939">
        <v>92</v>
      </c>
      <c r="E939" s="1">
        <v>45141</v>
      </c>
      <c r="F939" s="11">
        <f t="shared" si="93"/>
        <v>45141</v>
      </c>
      <c r="G939">
        <f t="shared" si="98"/>
        <v>2023</v>
      </c>
      <c r="H939">
        <f t="shared" si="99"/>
        <v>8</v>
      </c>
      <c r="I939">
        <f t="shared" si="100"/>
        <v>3</v>
      </c>
      <c r="J939" t="s">
        <v>10</v>
      </c>
      <c r="K939" t="s">
        <v>16</v>
      </c>
      <c r="L939" t="s">
        <v>9</v>
      </c>
      <c r="M939" t="s">
        <v>33</v>
      </c>
      <c r="N939" t="s">
        <v>27</v>
      </c>
      <c r="O939" t="s">
        <v>25</v>
      </c>
      <c r="Q939" t="s">
        <v>50</v>
      </c>
      <c r="R939" t="str">
        <f t="shared" si="94"/>
        <v>13_92___08/03/2023_2023_MonMon_CRC_W_GW_Sip_C__Nutri</v>
      </c>
    </row>
    <row r="940" spans="1:18" x14ac:dyDescent="0.25">
      <c r="A940">
        <v>13</v>
      </c>
      <c r="B940">
        <v>93</v>
      </c>
      <c r="E940" s="1">
        <v>45141</v>
      </c>
      <c r="F940" s="11">
        <f t="shared" si="93"/>
        <v>45141</v>
      </c>
      <c r="G940">
        <f t="shared" si="98"/>
        <v>2023</v>
      </c>
      <c r="H940">
        <f t="shared" si="99"/>
        <v>8</v>
      </c>
      <c r="I940">
        <f t="shared" si="100"/>
        <v>3</v>
      </c>
      <c r="J940" t="s">
        <v>10</v>
      </c>
      <c r="K940" t="s">
        <v>16</v>
      </c>
      <c r="L940" t="s">
        <v>14</v>
      </c>
      <c r="M940" t="s">
        <v>33</v>
      </c>
      <c r="N940" t="s">
        <v>27</v>
      </c>
      <c r="O940" t="s">
        <v>23</v>
      </c>
      <c r="Q940" t="s">
        <v>50</v>
      </c>
      <c r="R940" t="str">
        <f t="shared" si="94"/>
        <v>13_93___08/03/2023_2023_MonMon_CRC_TR_GW_Sip_A__Nutri</v>
      </c>
    </row>
    <row r="941" spans="1:18" x14ac:dyDescent="0.25">
      <c r="A941">
        <v>13</v>
      </c>
      <c r="B941">
        <v>94</v>
      </c>
      <c r="E941" s="1">
        <v>45141</v>
      </c>
      <c r="F941" s="11">
        <f t="shared" si="93"/>
        <v>45141</v>
      </c>
      <c r="G941">
        <f t="shared" si="98"/>
        <v>2023</v>
      </c>
      <c r="H941">
        <f t="shared" si="99"/>
        <v>8</v>
      </c>
      <c r="I941">
        <f t="shared" si="100"/>
        <v>3</v>
      </c>
      <c r="J941" t="s">
        <v>10</v>
      </c>
      <c r="K941" t="s">
        <v>16</v>
      </c>
      <c r="L941" t="s">
        <v>14</v>
      </c>
      <c r="M941" t="s">
        <v>33</v>
      </c>
      <c r="N941" t="s">
        <v>27</v>
      </c>
      <c r="O941" t="s">
        <v>24</v>
      </c>
      <c r="Q941" t="s">
        <v>50</v>
      </c>
      <c r="R941" t="str">
        <f t="shared" si="94"/>
        <v>13_94___08/03/2023_2023_MonMon_CRC_TR_GW_Sip_B__Nutri</v>
      </c>
    </row>
    <row r="942" spans="1:18" x14ac:dyDescent="0.25">
      <c r="A942">
        <v>13</v>
      </c>
      <c r="B942">
        <v>95</v>
      </c>
      <c r="E942" s="1">
        <v>45141</v>
      </c>
      <c r="F942" s="11">
        <f t="shared" si="93"/>
        <v>45141</v>
      </c>
      <c r="G942">
        <f t="shared" si="98"/>
        <v>2023</v>
      </c>
      <c r="H942">
        <f t="shared" si="99"/>
        <v>8</v>
      </c>
      <c r="I942">
        <f t="shared" si="100"/>
        <v>3</v>
      </c>
      <c r="J942" t="s">
        <v>10</v>
      </c>
      <c r="K942" t="s">
        <v>16</v>
      </c>
      <c r="L942" t="s">
        <v>14</v>
      </c>
      <c r="M942" t="s">
        <v>33</v>
      </c>
      <c r="N942" t="s">
        <v>27</v>
      </c>
      <c r="O942" t="s">
        <v>25</v>
      </c>
      <c r="Q942" t="s">
        <v>50</v>
      </c>
      <c r="R942" t="str">
        <f t="shared" si="94"/>
        <v>13_95___08/03/2023_2023_MonMon_CRC_TR_GW_Sip_C__Nutri</v>
      </c>
    </row>
    <row r="943" spans="1:18" x14ac:dyDescent="0.25">
      <c r="A943">
        <v>13</v>
      </c>
      <c r="B943">
        <v>96</v>
      </c>
      <c r="E943" s="1">
        <v>45141</v>
      </c>
      <c r="F943" s="11">
        <f t="shared" si="93"/>
        <v>45141</v>
      </c>
      <c r="G943">
        <f t="shared" si="98"/>
        <v>2023</v>
      </c>
      <c r="H943">
        <f t="shared" si="99"/>
        <v>8</v>
      </c>
      <c r="I943">
        <f t="shared" si="100"/>
        <v>3</v>
      </c>
      <c r="J943" t="s">
        <v>10</v>
      </c>
      <c r="K943" t="s">
        <v>16</v>
      </c>
      <c r="L943" t="s">
        <v>17</v>
      </c>
      <c r="M943" t="s">
        <v>33</v>
      </c>
      <c r="N943" t="s">
        <v>27</v>
      </c>
      <c r="O943" t="s">
        <v>23</v>
      </c>
      <c r="Q943" t="s">
        <v>50</v>
      </c>
      <c r="R943" t="str">
        <f t="shared" si="94"/>
        <v>13_96___08/03/2023_2023_MonMon_CRC_UP_GW_Sip_A__Nutri</v>
      </c>
    </row>
    <row r="944" spans="1:18" x14ac:dyDescent="0.25">
      <c r="A944">
        <v>13</v>
      </c>
      <c r="B944">
        <v>97</v>
      </c>
      <c r="E944" s="1">
        <v>45141</v>
      </c>
      <c r="F944" s="11">
        <f t="shared" si="93"/>
        <v>45141</v>
      </c>
      <c r="G944">
        <f t="shared" si="98"/>
        <v>2023</v>
      </c>
      <c r="H944">
        <f t="shared" si="99"/>
        <v>8</v>
      </c>
      <c r="I944">
        <f t="shared" si="100"/>
        <v>3</v>
      </c>
      <c r="J944" t="s">
        <v>10</v>
      </c>
      <c r="K944" t="s">
        <v>16</v>
      </c>
      <c r="L944" t="s">
        <v>17</v>
      </c>
      <c r="M944" t="s">
        <v>33</v>
      </c>
      <c r="N944" t="s">
        <v>27</v>
      </c>
      <c r="O944" t="s">
        <v>24</v>
      </c>
      <c r="Q944" t="s">
        <v>50</v>
      </c>
      <c r="R944" t="str">
        <f t="shared" si="94"/>
        <v>13_97___08/03/2023_2023_MonMon_CRC_UP_GW_Sip_B__Nutri</v>
      </c>
    </row>
    <row r="945" spans="1:18" x14ac:dyDescent="0.25">
      <c r="A945">
        <v>13</v>
      </c>
      <c r="B945">
        <v>98</v>
      </c>
      <c r="E945" s="1">
        <v>45141</v>
      </c>
      <c r="F945" s="11">
        <f t="shared" si="93"/>
        <v>45141</v>
      </c>
      <c r="G945">
        <f t="shared" si="98"/>
        <v>2023</v>
      </c>
      <c r="H945">
        <f t="shared" si="99"/>
        <v>8</v>
      </c>
      <c r="I945">
        <f t="shared" si="100"/>
        <v>3</v>
      </c>
      <c r="J945" t="s">
        <v>10</v>
      </c>
      <c r="K945" t="s">
        <v>16</v>
      </c>
      <c r="L945" t="s">
        <v>17</v>
      </c>
      <c r="M945" t="s">
        <v>33</v>
      </c>
      <c r="N945" t="s">
        <v>27</v>
      </c>
      <c r="O945" t="s">
        <v>25</v>
      </c>
      <c r="Q945" t="s">
        <v>50</v>
      </c>
      <c r="R945" t="str">
        <f t="shared" si="94"/>
        <v>13_98___08/03/2023_2023_MonMon_CRC_UP_GW_Sip_C__Nutri</v>
      </c>
    </row>
    <row r="946" spans="1:18" x14ac:dyDescent="0.25">
      <c r="A946">
        <v>14</v>
      </c>
      <c r="B946">
        <v>1</v>
      </c>
      <c r="E946" s="1">
        <v>45148</v>
      </c>
      <c r="F946" s="11">
        <f t="shared" si="93"/>
        <v>45148</v>
      </c>
      <c r="G946">
        <f t="shared" ref="G946:G947" si="101">YEAR(E946)</f>
        <v>2023</v>
      </c>
      <c r="H946">
        <f t="shared" ref="H946:H947" si="102">MONTH(E946)</f>
        <v>8</v>
      </c>
      <c r="I946">
        <f t="shared" ref="I946:I947" si="103">DAY(E946)</f>
        <v>10</v>
      </c>
      <c r="J946" t="s">
        <v>10</v>
      </c>
      <c r="K946" t="s">
        <v>8</v>
      </c>
      <c r="L946" t="s">
        <v>9</v>
      </c>
      <c r="M946" t="s">
        <v>11</v>
      </c>
      <c r="N946" t="s">
        <v>27</v>
      </c>
      <c r="O946" t="s">
        <v>23</v>
      </c>
      <c r="P946">
        <v>45</v>
      </c>
      <c r="Q946" t="s">
        <v>50</v>
      </c>
      <c r="R946" t="str">
        <f t="shared" si="94"/>
        <v>14_1___08/10/2023_2023_MonMon_OWC_W_PW_Sip_A_45_Nutri</v>
      </c>
    </row>
    <row r="947" spans="1:18" x14ac:dyDescent="0.25">
      <c r="A947">
        <v>14</v>
      </c>
      <c r="B947">
        <v>2</v>
      </c>
      <c r="E947" s="1">
        <v>45148</v>
      </c>
      <c r="F947" s="11">
        <f t="shared" si="93"/>
        <v>45148</v>
      </c>
      <c r="G947">
        <f t="shared" si="101"/>
        <v>2023</v>
      </c>
      <c r="H947">
        <f t="shared" si="102"/>
        <v>8</v>
      </c>
      <c r="I947">
        <f t="shared" si="103"/>
        <v>10</v>
      </c>
      <c r="J947" t="s">
        <v>10</v>
      </c>
      <c r="K947" t="s">
        <v>8</v>
      </c>
      <c r="L947" t="s">
        <v>9</v>
      </c>
      <c r="M947" t="s">
        <v>11</v>
      </c>
      <c r="N947" t="s">
        <v>27</v>
      </c>
      <c r="O947" t="s">
        <v>23</v>
      </c>
      <c r="P947">
        <v>45</v>
      </c>
      <c r="Q947" t="s">
        <v>50</v>
      </c>
      <c r="R947" t="str">
        <f t="shared" si="94"/>
        <v>14_2___08/10/2023_2023_MonMon_OWC_W_PW_Sip_A_45_Nutri</v>
      </c>
    </row>
    <row r="948" spans="1:18" x14ac:dyDescent="0.25">
      <c r="A948">
        <v>14</v>
      </c>
      <c r="B948">
        <v>3</v>
      </c>
      <c r="E948" s="1">
        <v>45148</v>
      </c>
      <c r="F948" s="11">
        <f t="shared" si="93"/>
        <v>45148</v>
      </c>
      <c r="G948">
        <f t="shared" ref="G948:G969" si="104">YEAR(E948)</f>
        <v>2023</v>
      </c>
      <c r="H948">
        <f t="shared" ref="H948:H969" si="105">MONTH(E948)</f>
        <v>8</v>
      </c>
      <c r="I948">
        <f t="shared" ref="I948:I969" si="106">DAY(E948)</f>
        <v>10</v>
      </c>
      <c r="J948" t="s">
        <v>10</v>
      </c>
      <c r="K948" t="s">
        <v>8</v>
      </c>
      <c r="L948" t="s">
        <v>9</v>
      </c>
      <c r="M948" t="s">
        <v>11</v>
      </c>
      <c r="N948" t="s">
        <v>27</v>
      </c>
      <c r="O948" t="s">
        <v>24</v>
      </c>
      <c r="P948">
        <v>45</v>
      </c>
      <c r="Q948" t="s">
        <v>50</v>
      </c>
      <c r="R948" t="str">
        <f t="shared" si="94"/>
        <v>14_3___08/10/2023_2023_MonMon_OWC_W_PW_Sip_B_45_Nutri</v>
      </c>
    </row>
    <row r="949" spans="1:18" x14ac:dyDescent="0.25">
      <c r="A949">
        <v>14</v>
      </c>
      <c r="B949">
        <v>4</v>
      </c>
      <c r="E949" s="1">
        <v>45148</v>
      </c>
      <c r="F949" s="11">
        <f t="shared" si="93"/>
        <v>45148</v>
      </c>
      <c r="G949">
        <f t="shared" si="104"/>
        <v>2023</v>
      </c>
      <c r="H949">
        <f t="shared" si="105"/>
        <v>8</v>
      </c>
      <c r="I949">
        <f t="shared" si="106"/>
        <v>10</v>
      </c>
      <c r="J949" t="s">
        <v>10</v>
      </c>
      <c r="K949" t="s">
        <v>8</v>
      </c>
      <c r="L949" t="s">
        <v>14</v>
      </c>
      <c r="M949" t="s">
        <v>11</v>
      </c>
      <c r="N949" t="s">
        <v>15</v>
      </c>
      <c r="O949" t="s">
        <v>23</v>
      </c>
      <c r="P949">
        <v>10</v>
      </c>
      <c r="Q949" t="s">
        <v>50</v>
      </c>
      <c r="R949" t="str">
        <f t="shared" si="94"/>
        <v>14_4___08/10/2023_2023_MonMon_OWC_TR_PW_Lys_A_10_Nutri</v>
      </c>
    </row>
    <row r="950" spans="1:18" x14ac:dyDescent="0.25">
      <c r="A950">
        <v>14</v>
      </c>
      <c r="B950">
        <v>5</v>
      </c>
      <c r="E950" s="1">
        <v>45148</v>
      </c>
      <c r="F950" s="11">
        <f t="shared" si="93"/>
        <v>45148</v>
      </c>
      <c r="G950">
        <f t="shared" si="104"/>
        <v>2023</v>
      </c>
      <c r="H950">
        <f t="shared" si="105"/>
        <v>8</v>
      </c>
      <c r="I950">
        <f t="shared" si="106"/>
        <v>10</v>
      </c>
      <c r="J950" t="s">
        <v>10</v>
      </c>
      <c r="K950" t="s">
        <v>8</v>
      </c>
      <c r="L950" t="s">
        <v>14</v>
      </c>
      <c r="M950" t="s">
        <v>11</v>
      </c>
      <c r="N950" t="s">
        <v>15</v>
      </c>
      <c r="O950" t="s">
        <v>23</v>
      </c>
      <c r="P950">
        <v>20</v>
      </c>
      <c r="Q950" t="s">
        <v>50</v>
      </c>
      <c r="R950" t="str">
        <f t="shared" si="94"/>
        <v>14_5___08/10/2023_2023_MonMon_OWC_TR_PW_Lys_A_20_Nutri</v>
      </c>
    </row>
    <row r="951" spans="1:18" x14ac:dyDescent="0.25">
      <c r="A951">
        <v>14</v>
      </c>
      <c r="B951">
        <v>6</v>
      </c>
      <c r="E951" s="1">
        <v>45148</v>
      </c>
      <c r="F951" s="11">
        <f t="shared" si="93"/>
        <v>45148</v>
      </c>
      <c r="G951">
        <f t="shared" si="104"/>
        <v>2023</v>
      </c>
      <c r="H951">
        <f t="shared" si="105"/>
        <v>8</v>
      </c>
      <c r="I951">
        <f t="shared" si="106"/>
        <v>10</v>
      </c>
      <c r="J951" t="s">
        <v>10</v>
      </c>
      <c r="K951" t="s">
        <v>8</v>
      </c>
      <c r="L951" t="s">
        <v>14</v>
      </c>
      <c r="M951" t="s">
        <v>11</v>
      </c>
      <c r="N951" t="s">
        <v>15</v>
      </c>
      <c r="O951" t="s">
        <v>24</v>
      </c>
      <c r="P951">
        <v>45</v>
      </c>
      <c r="Q951" t="s">
        <v>50</v>
      </c>
      <c r="R951" t="str">
        <f t="shared" si="94"/>
        <v>14_6___08/10/2023_2023_MonMon_OWC_TR_PW_Lys_B_45_Nutri</v>
      </c>
    </row>
    <row r="952" spans="1:18" x14ac:dyDescent="0.25">
      <c r="A952">
        <v>14</v>
      </c>
      <c r="B952">
        <v>7</v>
      </c>
      <c r="E952" s="1">
        <v>45148</v>
      </c>
      <c r="F952" s="11">
        <f t="shared" si="93"/>
        <v>45148</v>
      </c>
      <c r="G952">
        <f t="shared" si="104"/>
        <v>2023</v>
      </c>
      <c r="H952">
        <f t="shared" si="105"/>
        <v>8</v>
      </c>
      <c r="I952">
        <f t="shared" si="106"/>
        <v>10</v>
      </c>
      <c r="J952" t="s">
        <v>10</v>
      </c>
      <c r="K952" t="s">
        <v>8</v>
      </c>
      <c r="L952" t="s">
        <v>14</v>
      </c>
      <c r="M952" t="s">
        <v>11</v>
      </c>
      <c r="N952" t="s">
        <v>15</v>
      </c>
      <c r="O952" t="s">
        <v>25</v>
      </c>
      <c r="P952">
        <v>10</v>
      </c>
      <c r="Q952" t="s">
        <v>50</v>
      </c>
      <c r="R952" t="str">
        <f t="shared" si="94"/>
        <v>14_7___08/10/2023_2023_MonMon_OWC_TR_PW_Lys_C_10_Nutri</v>
      </c>
    </row>
    <row r="953" spans="1:18" x14ac:dyDescent="0.25">
      <c r="A953">
        <v>14</v>
      </c>
      <c r="B953">
        <v>8</v>
      </c>
      <c r="E953" s="1">
        <v>45148</v>
      </c>
      <c r="F953" s="11">
        <f t="shared" si="93"/>
        <v>45148</v>
      </c>
      <c r="G953">
        <f t="shared" si="104"/>
        <v>2023</v>
      </c>
      <c r="H953">
        <f t="shared" si="105"/>
        <v>8</v>
      </c>
      <c r="I953">
        <f t="shared" si="106"/>
        <v>10</v>
      </c>
      <c r="J953" t="s">
        <v>10</v>
      </c>
      <c r="K953" t="s">
        <v>8</v>
      </c>
      <c r="L953" t="s">
        <v>14</v>
      </c>
      <c r="M953" t="s">
        <v>11</v>
      </c>
      <c r="N953" t="s">
        <v>15</v>
      </c>
      <c r="O953" t="s">
        <v>25</v>
      </c>
      <c r="P953">
        <v>20</v>
      </c>
      <c r="Q953" t="s">
        <v>50</v>
      </c>
      <c r="R953" t="str">
        <f t="shared" si="94"/>
        <v>14_8___08/10/2023_2023_MonMon_OWC_TR_PW_Lys_C_20_Nutri</v>
      </c>
    </row>
    <row r="954" spans="1:18" x14ac:dyDescent="0.25">
      <c r="A954">
        <v>14</v>
      </c>
      <c r="B954">
        <v>9</v>
      </c>
      <c r="E954" s="1">
        <v>45148</v>
      </c>
      <c r="F954" s="11">
        <f t="shared" si="93"/>
        <v>45148</v>
      </c>
      <c r="G954">
        <f t="shared" si="104"/>
        <v>2023</v>
      </c>
      <c r="H954">
        <f t="shared" si="105"/>
        <v>8</v>
      </c>
      <c r="I954">
        <f t="shared" si="106"/>
        <v>10</v>
      </c>
      <c r="J954" t="s">
        <v>10</v>
      </c>
      <c r="K954" t="s">
        <v>8</v>
      </c>
      <c r="L954" t="s">
        <v>14</v>
      </c>
      <c r="M954" t="s">
        <v>11</v>
      </c>
      <c r="N954" t="s">
        <v>15</v>
      </c>
      <c r="O954" t="s">
        <v>25</v>
      </c>
      <c r="P954">
        <v>45</v>
      </c>
      <c r="Q954" t="s">
        <v>50</v>
      </c>
      <c r="R954" t="str">
        <f t="shared" si="94"/>
        <v>14_9___08/10/2023_2023_MonMon_OWC_TR_PW_Lys_C_45_Nutri</v>
      </c>
    </row>
    <row r="955" spans="1:18" x14ac:dyDescent="0.25">
      <c r="A955">
        <v>14</v>
      </c>
      <c r="B955">
        <v>10</v>
      </c>
      <c r="E955" s="1">
        <v>45148</v>
      </c>
      <c r="F955" s="11">
        <f t="shared" si="93"/>
        <v>45148</v>
      </c>
      <c r="G955">
        <f t="shared" si="104"/>
        <v>2023</v>
      </c>
      <c r="H955">
        <f t="shared" si="105"/>
        <v>8</v>
      </c>
      <c r="I955">
        <f t="shared" si="106"/>
        <v>10</v>
      </c>
      <c r="J955" t="s">
        <v>10</v>
      </c>
      <c r="K955" t="s">
        <v>8</v>
      </c>
      <c r="L955" t="s">
        <v>14</v>
      </c>
      <c r="M955" t="s">
        <v>26</v>
      </c>
      <c r="N955" t="s">
        <v>18</v>
      </c>
      <c r="O955">
        <v>4</v>
      </c>
      <c r="Q955" t="s">
        <v>50</v>
      </c>
      <c r="R955" t="str">
        <f t="shared" si="94"/>
        <v>14_10___08/10/2023_2023_MonMon_OWC_TR_RZ_Rz_4__Nutri</v>
      </c>
    </row>
    <row r="956" spans="1:18" x14ac:dyDescent="0.25">
      <c r="A956">
        <v>14</v>
      </c>
      <c r="B956">
        <v>11</v>
      </c>
      <c r="E956" s="1">
        <v>45148</v>
      </c>
      <c r="F956" s="11">
        <f t="shared" si="93"/>
        <v>45148</v>
      </c>
      <c r="G956">
        <f t="shared" si="104"/>
        <v>2023</v>
      </c>
      <c r="H956">
        <f t="shared" si="105"/>
        <v>8</v>
      </c>
      <c r="I956">
        <f t="shared" si="106"/>
        <v>10</v>
      </c>
      <c r="J956" t="s">
        <v>10</v>
      </c>
      <c r="K956" t="s">
        <v>8</v>
      </c>
      <c r="L956" t="s">
        <v>14</v>
      </c>
      <c r="M956" t="s">
        <v>26</v>
      </c>
      <c r="N956" t="s">
        <v>18</v>
      </c>
      <c r="O956">
        <v>5</v>
      </c>
      <c r="Q956" t="s">
        <v>50</v>
      </c>
      <c r="R956" t="str">
        <f t="shared" si="94"/>
        <v>14_11___08/10/2023_2023_MonMon_OWC_TR_RZ_Rz_5__Nutri</v>
      </c>
    </row>
    <row r="957" spans="1:18" x14ac:dyDescent="0.25">
      <c r="A957">
        <v>14</v>
      </c>
      <c r="B957">
        <v>12</v>
      </c>
      <c r="E957" s="1">
        <v>45148</v>
      </c>
      <c r="F957" s="11">
        <f t="shared" si="93"/>
        <v>45148</v>
      </c>
      <c r="G957">
        <f t="shared" si="104"/>
        <v>2023</v>
      </c>
      <c r="H957">
        <f t="shared" si="105"/>
        <v>8</v>
      </c>
      <c r="I957">
        <f t="shared" si="106"/>
        <v>10</v>
      </c>
      <c r="J957" t="s">
        <v>10</v>
      </c>
      <c r="K957" t="s">
        <v>8</v>
      </c>
      <c r="L957" t="s">
        <v>14</v>
      </c>
      <c r="M957" t="s">
        <v>26</v>
      </c>
      <c r="N957" t="s">
        <v>18</v>
      </c>
      <c r="O957">
        <v>6</v>
      </c>
      <c r="Q957" t="s">
        <v>50</v>
      </c>
      <c r="R957" t="str">
        <f t="shared" si="94"/>
        <v>14_12___08/10/2023_2023_MonMon_OWC_TR_RZ_Rz_6__Nutri</v>
      </c>
    </row>
    <row r="958" spans="1:18" s="6" customFormat="1" x14ac:dyDescent="0.25">
      <c r="A958" s="6">
        <v>14</v>
      </c>
      <c r="B958" s="6">
        <v>13</v>
      </c>
      <c r="E958" s="7">
        <v>45148</v>
      </c>
      <c r="F958" s="11">
        <f t="shared" si="93"/>
        <v>45148</v>
      </c>
      <c r="G958" s="6">
        <f t="shared" si="104"/>
        <v>2023</v>
      </c>
      <c r="H958" s="6">
        <f t="shared" si="105"/>
        <v>8</v>
      </c>
      <c r="I958" s="6">
        <f t="shared" si="106"/>
        <v>10</v>
      </c>
      <c r="J958" s="6" t="s">
        <v>10</v>
      </c>
      <c r="K958" s="6" t="s">
        <v>8</v>
      </c>
      <c r="L958" s="6" t="s">
        <v>28</v>
      </c>
      <c r="M958" s="6" t="s">
        <v>28</v>
      </c>
      <c r="N958" s="6" t="s">
        <v>27</v>
      </c>
      <c r="O958" s="6" t="s">
        <v>23</v>
      </c>
      <c r="Q958" s="6" t="s">
        <v>50</v>
      </c>
      <c r="R958" t="str">
        <f t="shared" si="94"/>
        <v>14_13___08/10/2023_2023_MonMon_OWC_OW_OW_Sip_A__Nutri</v>
      </c>
    </row>
    <row r="959" spans="1:18" s="6" customFormat="1" x14ac:dyDescent="0.25">
      <c r="A959" s="6">
        <v>14</v>
      </c>
      <c r="B959" s="6">
        <v>14</v>
      </c>
      <c r="E959" s="7">
        <v>45148</v>
      </c>
      <c r="F959" s="11">
        <f t="shared" si="93"/>
        <v>45148</v>
      </c>
      <c r="G959" s="6">
        <f t="shared" si="104"/>
        <v>2023</v>
      </c>
      <c r="H959" s="6">
        <f t="shared" si="105"/>
        <v>8</v>
      </c>
      <c r="I959" s="6">
        <f t="shared" si="106"/>
        <v>10</v>
      </c>
      <c r="J959" s="6" t="s">
        <v>10</v>
      </c>
      <c r="K959" s="6" t="s">
        <v>8</v>
      </c>
      <c r="L959" s="6" t="s">
        <v>28</v>
      </c>
      <c r="M959" s="6" t="s">
        <v>28</v>
      </c>
      <c r="N959" s="6" t="s">
        <v>27</v>
      </c>
      <c r="O959" s="6" t="s">
        <v>24</v>
      </c>
      <c r="Q959" s="6" t="s">
        <v>50</v>
      </c>
      <c r="R959" t="str">
        <f t="shared" si="94"/>
        <v>14_14___08/10/2023_2023_MonMon_OWC_OW_OW_Sip_B__Nutri</v>
      </c>
    </row>
    <row r="960" spans="1:18" s="6" customFormat="1" x14ac:dyDescent="0.25">
      <c r="A960" s="6">
        <v>14</v>
      </c>
      <c r="B960" s="6">
        <v>15</v>
      </c>
      <c r="E960" s="7">
        <v>45148</v>
      </c>
      <c r="F960" s="11">
        <f t="shared" si="93"/>
        <v>45148</v>
      </c>
      <c r="G960" s="6">
        <f t="shared" si="104"/>
        <v>2023</v>
      </c>
      <c r="H960" s="6">
        <f t="shared" si="105"/>
        <v>8</v>
      </c>
      <c r="I960" s="6">
        <f t="shared" si="106"/>
        <v>10</v>
      </c>
      <c r="J960" s="6" t="s">
        <v>10</v>
      </c>
      <c r="K960" s="6" t="s">
        <v>8</v>
      </c>
      <c r="L960" s="6" t="s">
        <v>28</v>
      </c>
      <c r="M960" s="6" t="s">
        <v>28</v>
      </c>
      <c r="N960" s="6" t="s">
        <v>27</v>
      </c>
      <c r="O960" s="6" t="s">
        <v>25</v>
      </c>
      <c r="Q960" s="6" t="s">
        <v>50</v>
      </c>
      <c r="R960" t="str">
        <f t="shared" si="94"/>
        <v>14_15___08/10/2023_2023_MonMon_OWC_OW_OW_Sip_C__Nutri</v>
      </c>
    </row>
    <row r="961" spans="1:18" x14ac:dyDescent="0.25">
      <c r="A961">
        <v>14</v>
      </c>
      <c r="B961">
        <v>16</v>
      </c>
      <c r="E961" s="1">
        <v>45148</v>
      </c>
      <c r="F961" s="11">
        <f t="shared" si="93"/>
        <v>45148</v>
      </c>
      <c r="G961">
        <f t="shared" si="104"/>
        <v>2023</v>
      </c>
      <c r="H961">
        <f t="shared" si="105"/>
        <v>8</v>
      </c>
      <c r="I961">
        <f t="shared" si="106"/>
        <v>10</v>
      </c>
      <c r="J961" t="s">
        <v>10</v>
      </c>
      <c r="K961" t="s">
        <v>8</v>
      </c>
      <c r="L961" t="s">
        <v>9</v>
      </c>
      <c r="M961" t="s">
        <v>33</v>
      </c>
      <c r="N961" t="s">
        <v>27</v>
      </c>
      <c r="O961" t="s">
        <v>23</v>
      </c>
      <c r="Q961" t="s">
        <v>50</v>
      </c>
      <c r="R961" t="str">
        <f t="shared" si="94"/>
        <v>14_16___08/10/2023_2023_MonMon_OWC_W_GW_Sip_A__Nutri</v>
      </c>
    </row>
    <row r="962" spans="1:18" x14ac:dyDescent="0.25">
      <c r="A962">
        <v>14</v>
      </c>
      <c r="B962">
        <v>17</v>
      </c>
      <c r="E962" s="1">
        <v>45148</v>
      </c>
      <c r="F962" s="11">
        <f t="shared" si="93"/>
        <v>45148</v>
      </c>
      <c r="G962">
        <f t="shared" si="104"/>
        <v>2023</v>
      </c>
      <c r="H962">
        <f t="shared" si="105"/>
        <v>8</v>
      </c>
      <c r="I962">
        <f t="shared" si="106"/>
        <v>10</v>
      </c>
      <c r="J962" t="s">
        <v>10</v>
      </c>
      <c r="K962" t="s">
        <v>8</v>
      </c>
      <c r="L962" t="s">
        <v>9</v>
      </c>
      <c r="M962" t="s">
        <v>33</v>
      </c>
      <c r="N962" t="s">
        <v>27</v>
      </c>
      <c r="O962" t="s">
        <v>24</v>
      </c>
      <c r="Q962" t="s">
        <v>50</v>
      </c>
      <c r="R962" t="str">
        <f t="shared" si="94"/>
        <v>14_17___08/10/2023_2023_MonMon_OWC_W_GW_Sip_B__Nutri</v>
      </c>
    </row>
    <row r="963" spans="1:18" x14ac:dyDescent="0.25">
      <c r="A963">
        <v>14</v>
      </c>
      <c r="B963">
        <v>18</v>
      </c>
      <c r="E963" s="1">
        <v>45148</v>
      </c>
      <c r="F963" s="11">
        <f t="shared" ref="F963:F1026" si="107">E963</f>
        <v>45148</v>
      </c>
      <c r="G963">
        <f t="shared" si="104"/>
        <v>2023</v>
      </c>
      <c r="H963">
        <f t="shared" si="105"/>
        <v>8</v>
      </c>
      <c r="I963">
        <f t="shared" si="106"/>
        <v>10</v>
      </c>
      <c r="J963" t="s">
        <v>10</v>
      </c>
      <c r="K963" t="s">
        <v>8</v>
      </c>
      <c r="L963" t="s">
        <v>9</v>
      </c>
      <c r="M963" t="s">
        <v>33</v>
      </c>
      <c r="N963" t="s">
        <v>27</v>
      </c>
      <c r="O963" t="s">
        <v>25</v>
      </c>
      <c r="Q963" t="s">
        <v>50</v>
      </c>
      <c r="R963" t="str">
        <f t="shared" ref="R963:R1026" si="108">CONCATENATE(A963,"_",B963,"_", C963,"_",D963,"_",TEXT(E963, "mm/dd/yyyy"),"_",G963,"_",J963,"_",K963,"_",L963,"_",M963,"_",N963,"_",O963,"_",P963,"_",Q963)</f>
        <v>14_18___08/10/2023_2023_MonMon_OWC_W_GW_Sip_C__Nutri</v>
      </c>
    </row>
    <row r="964" spans="1:18" x14ac:dyDescent="0.25">
      <c r="A964">
        <v>14</v>
      </c>
      <c r="B964">
        <v>19</v>
      </c>
      <c r="E964" s="1">
        <v>45148</v>
      </c>
      <c r="F964" s="11">
        <f t="shared" si="107"/>
        <v>45148</v>
      </c>
      <c r="G964">
        <f t="shared" si="104"/>
        <v>2023</v>
      </c>
      <c r="H964">
        <f t="shared" si="105"/>
        <v>8</v>
      </c>
      <c r="I964">
        <f t="shared" si="106"/>
        <v>10</v>
      </c>
      <c r="J964" t="s">
        <v>10</v>
      </c>
      <c r="K964" t="s">
        <v>8</v>
      </c>
      <c r="L964" t="s">
        <v>14</v>
      </c>
      <c r="M964" t="s">
        <v>33</v>
      </c>
      <c r="N964" t="s">
        <v>27</v>
      </c>
      <c r="O964" t="s">
        <v>23</v>
      </c>
      <c r="Q964" t="s">
        <v>50</v>
      </c>
      <c r="R964" t="str">
        <f t="shared" si="108"/>
        <v>14_19___08/10/2023_2023_MonMon_OWC_TR_GW_Sip_A__Nutri</v>
      </c>
    </row>
    <row r="965" spans="1:18" x14ac:dyDescent="0.25">
      <c r="A965">
        <v>14</v>
      </c>
      <c r="B965">
        <v>20</v>
      </c>
      <c r="E965" s="1">
        <v>45148</v>
      </c>
      <c r="F965" s="11">
        <f t="shared" si="107"/>
        <v>45148</v>
      </c>
      <c r="G965">
        <f t="shared" si="104"/>
        <v>2023</v>
      </c>
      <c r="H965">
        <f t="shared" si="105"/>
        <v>8</v>
      </c>
      <c r="I965">
        <f t="shared" si="106"/>
        <v>10</v>
      </c>
      <c r="J965" t="s">
        <v>10</v>
      </c>
      <c r="K965" t="s">
        <v>8</v>
      </c>
      <c r="L965" t="s">
        <v>14</v>
      </c>
      <c r="M965" t="s">
        <v>33</v>
      </c>
      <c r="N965" t="s">
        <v>27</v>
      </c>
      <c r="O965" t="s">
        <v>24</v>
      </c>
      <c r="Q965" t="s">
        <v>50</v>
      </c>
      <c r="R965" t="str">
        <f t="shared" si="108"/>
        <v>14_20___08/10/2023_2023_MonMon_OWC_TR_GW_Sip_B__Nutri</v>
      </c>
    </row>
    <row r="966" spans="1:18" x14ac:dyDescent="0.25">
      <c r="A966">
        <v>14</v>
      </c>
      <c r="B966">
        <v>21</v>
      </c>
      <c r="E966" s="1">
        <v>45148</v>
      </c>
      <c r="F966" s="11">
        <f t="shared" si="107"/>
        <v>45148</v>
      </c>
      <c r="G966">
        <f t="shared" si="104"/>
        <v>2023</v>
      </c>
      <c r="H966">
        <f t="shared" si="105"/>
        <v>8</v>
      </c>
      <c r="I966">
        <f t="shared" si="106"/>
        <v>10</v>
      </c>
      <c r="J966" t="s">
        <v>10</v>
      </c>
      <c r="K966" t="s">
        <v>8</v>
      </c>
      <c r="L966" t="s">
        <v>14</v>
      </c>
      <c r="M966" t="s">
        <v>33</v>
      </c>
      <c r="N966" t="s">
        <v>27</v>
      </c>
      <c r="O966" t="s">
        <v>25</v>
      </c>
      <c r="Q966" t="s">
        <v>50</v>
      </c>
      <c r="R966" t="str">
        <f t="shared" si="108"/>
        <v>14_21___08/10/2023_2023_MonMon_OWC_TR_GW_Sip_C__Nutri</v>
      </c>
    </row>
    <row r="967" spans="1:18" x14ac:dyDescent="0.25">
      <c r="A967">
        <v>14</v>
      </c>
      <c r="B967">
        <v>22</v>
      </c>
      <c r="E967" s="1">
        <v>45148</v>
      </c>
      <c r="F967" s="11">
        <f t="shared" si="107"/>
        <v>45148</v>
      </c>
      <c r="G967">
        <f t="shared" si="104"/>
        <v>2023</v>
      </c>
      <c r="H967">
        <f t="shared" si="105"/>
        <v>8</v>
      </c>
      <c r="I967">
        <f t="shared" si="106"/>
        <v>10</v>
      </c>
      <c r="J967" t="s">
        <v>10</v>
      </c>
      <c r="K967" t="s">
        <v>8</v>
      </c>
      <c r="L967" t="s">
        <v>17</v>
      </c>
      <c r="M967" t="s">
        <v>33</v>
      </c>
      <c r="N967" t="s">
        <v>27</v>
      </c>
      <c r="O967" t="s">
        <v>23</v>
      </c>
      <c r="Q967" t="s">
        <v>50</v>
      </c>
      <c r="R967" t="str">
        <f t="shared" si="108"/>
        <v>14_22___08/10/2023_2023_MonMon_OWC_UP_GW_Sip_A__Nutri</v>
      </c>
    </row>
    <row r="968" spans="1:18" x14ac:dyDescent="0.25">
      <c r="A968">
        <v>14</v>
      </c>
      <c r="B968">
        <v>23</v>
      </c>
      <c r="E968" s="1">
        <v>45148</v>
      </c>
      <c r="F968" s="11">
        <f t="shared" si="107"/>
        <v>45148</v>
      </c>
      <c r="G968">
        <f t="shared" si="104"/>
        <v>2023</v>
      </c>
      <c r="H968">
        <f t="shared" si="105"/>
        <v>8</v>
      </c>
      <c r="I968">
        <f t="shared" si="106"/>
        <v>10</v>
      </c>
      <c r="J968" t="s">
        <v>10</v>
      </c>
      <c r="K968" t="s">
        <v>8</v>
      </c>
      <c r="L968" t="s">
        <v>17</v>
      </c>
      <c r="M968" t="s">
        <v>33</v>
      </c>
      <c r="N968" t="s">
        <v>27</v>
      </c>
      <c r="O968" t="s">
        <v>24</v>
      </c>
      <c r="Q968" t="s">
        <v>50</v>
      </c>
      <c r="R968" t="str">
        <f t="shared" si="108"/>
        <v>14_23___08/10/2023_2023_MonMon_OWC_UP_GW_Sip_B__Nutri</v>
      </c>
    </row>
    <row r="969" spans="1:18" x14ac:dyDescent="0.25">
      <c r="A969">
        <v>14</v>
      </c>
      <c r="B969">
        <v>24</v>
      </c>
      <c r="E969" s="1">
        <v>45148</v>
      </c>
      <c r="F969" s="11">
        <f t="shared" si="107"/>
        <v>45148</v>
      </c>
      <c r="G969">
        <f t="shared" si="104"/>
        <v>2023</v>
      </c>
      <c r="H969">
        <f t="shared" si="105"/>
        <v>8</v>
      </c>
      <c r="I969">
        <f t="shared" si="106"/>
        <v>10</v>
      </c>
      <c r="J969" t="s">
        <v>10</v>
      </c>
      <c r="K969" t="s">
        <v>8</v>
      </c>
      <c r="L969" t="s">
        <v>17</v>
      </c>
      <c r="M969" t="s">
        <v>33</v>
      </c>
      <c r="N969" t="s">
        <v>27</v>
      </c>
      <c r="O969" t="s">
        <v>25</v>
      </c>
      <c r="Q969" t="s">
        <v>50</v>
      </c>
      <c r="R969" t="str">
        <f t="shared" si="108"/>
        <v>14_24___08/10/2023_2023_MonMon_OWC_UP_GW_Sip_C__Nutri</v>
      </c>
    </row>
    <row r="970" spans="1:18" x14ac:dyDescent="0.25">
      <c r="A970">
        <v>14</v>
      </c>
      <c r="B970">
        <v>25</v>
      </c>
      <c r="E970" s="1">
        <v>45155</v>
      </c>
      <c r="F970" s="11">
        <f t="shared" si="107"/>
        <v>45155</v>
      </c>
      <c r="G970">
        <f t="shared" ref="G970:G971" si="109">YEAR(E970)</f>
        <v>2023</v>
      </c>
      <c r="H970">
        <f t="shared" ref="H970:H971" si="110">MONTH(E970)</f>
        <v>8</v>
      </c>
      <c r="I970">
        <f t="shared" ref="I970:I971" si="111">DAY(E970)</f>
        <v>17</v>
      </c>
      <c r="J970" t="s">
        <v>10</v>
      </c>
      <c r="K970" t="s">
        <v>13</v>
      </c>
      <c r="L970" t="s">
        <v>9</v>
      </c>
      <c r="M970" t="s">
        <v>11</v>
      </c>
      <c r="N970" t="s">
        <v>27</v>
      </c>
      <c r="O970" t="s">
        <v>23</v>
      </c>
      <c r="P970">
        <v>45</v>
      </c>
      <c r="Q970" t="s">
        <v>50</v>
      </c>
      <c r="R970" t="str">
        <f t="shared" si="108"/>
        <v>14_25___08/17/2023_2023_MonMon_PTR_W_PW_Sip_A_45_Nutri</v>
      </c>
    </row>
    <row r="971" spans="1:18" x14ac:dyDescent="0.25">
      <c r="A971">
        <v>14</v>
      </c>
      <c r="B971">
        <v>26</v>
      </c>
      <c r="E971" s="1">
        <v>45155</v>
      </c>
      <c r="F971" s="11">
        <f t="shared" si="107"/>
        <v>45155</v>
      </c>
      <c r="G971">
        <f t="shared" si="109"/>
        <v>2023</v>
      </c>
      <c r="H971">
        <f t="shared" si="110"/>
        <v>8</v>
      </c>
      <c r="I971">
        <f t="shared" si="111"/>
        <v>17</v>
      </c>
      <c r="J971" t="s">
        <v>10</v>
      </c>
      <c r="K971" t="s">
        <v>13</v>
      </c>
      <c r="L971" t="s">
        <v>9</v>
      </c>
      <c r="M971" t="s">
        <v>11</v>
      </c>
      <c r="N971" t="s">
        <v>27</v>
      </c>
      <c r="O971" t="s">
        <v>25</v>
      </c>
      <c r="P971">
        <v>45</v>
      </c>
      <c r="Q971" t="s">
        <v>50</v>
      </c>
      <c r="R971" t="str">
        <f t="shared" si="108"/>
        <v>14_26___08/17/2023_2023_MonMon_PTR_W_PW_Sip_C_45_Nutri</v>
      </c>
    </row>
    <row r="972" spans="1:18" s="6" customFormat="1" x14ac:dyDescent="0.25">
      <c r="A972" s="6">
        <v>14</v>
      </c>
      <c r="B972" s="6">
        <v>27</v>
      </c>
      <c r="E972" s="7">
        <v>45155</v>
      </c>
      <c r="F972" s="11">
        <f t="shared" si="107"/>
        <v>45155</v>
      </c>
      <c r="G972" s="6">
        <f t="shared" ref="G972:G974" si="112">YEAR(E972)</f>
        <v>2023</v>
      </c>
      <c r="H972" s="6">
        <f t="shared" ref="H972:H974" si="113">MONTH(E972)</f>
        <v>8</v>
      </c>
      <c r="I972" s="6">
        <f t="shared" ref="I972:I974" si="114">DAY(E972)</f>
        <v>17</v>
      </c>
      <c r="J972" s="6" t="s">
        <v>10</v>
      </c>
      <c r="K972" s="6" t="s">
        <v>13</v>
      </c>
      <c r="L972" s="6" t="s">
        <v>28</v>
      </c>
      <c r="M972" s="6" t="s">
        <v>28</v>
      </c>
      <c r="N972" s="6" t="s">
        <v>27</v>
      </c>
      <c r="O972" s="6" t="s">
        <v>23</v>
      </c>
      <c r="Q972" s="6" t="s">
        <v>50</v>
      </c>
      <c r="R972" t="str">
        <f t="shared" si="108"/>
        <v>14_27___08/17/2023_2023_MonMon_PTR_OW_OW_Sip_A__Nutri</v>
      </c>
    </row>
    <row r="973" spans="1:18" s="6" customFormat="1" x14ac:dyDescent="0.25">
      <c r="A973" s="6">
        <v>14</v>
      </c>
      <c r="B973" s="6">
        <v>28</v>
      </c>
      <c r="E973" s="7">
        <v>45155</v>
      </c>
      <c r="F973" s="11">
        <f t="shared" si="107"/>
        <v>45155</v>
      </c>
      <c r="G973" s="6">
        <f t="shared" si="112"/>
        <v>2023</v>
      </c>
      <c r="H973" s="6">
        <f t="shared" si="113"/>
        <v>8</v>
      </c>
      <c r="I973" s="6">
        <f t="shared" si="114"/>
        <v>17</v>
      </c>
      <c r="J973" s="6" t="s">
        <v>10</v>
      </c>
      <c r="K973" s="6" t="s">
        <v>13</v>
      </c>
      <c r="L973" s="6" t="s">
        <v>28</v>
      </c>
      <c r="M973" s="6" t="s">
        <v>28</v>
      </c>
      <c r="N973" s="6" t="s">
        <v>27</v>
      </c>
      <c r="O973" s="6" t="s">
        <v>24</v>
      </c>
      <c r="Q973" s="6" t="s">
        <v>50</v>
      </c>
      <c r="R973" t="str">
        <f t="shared" si="108"/>
        <v>14_28___08/17/2023_2023_MonMon_PTR_OW_OW_Sip_B__Nutri</v>
      </c>
    </row>
    <row r="974" spans="1:18" s="6" customFormat="1" x14ac:dyDescent="0.25">
      <c r="A974" s="6">
        <v>14</v>
      </c>
      <c r="B974" s="6">
        <v>29</v>
      </c>
      <c r="E974" s="7">
        <v>45155</v>
      </c>
      <c r="F974" s="11">
        <f t="shared" si="107"/>
        <v>45155</v>
      </c>
      <c r="G974" s="6">
        <f t="shared" si="112"/>
        <v>2023</v>
      </c>
      <c r="H974" s="6">
        <f t="shared" si="113"/>
        <v>8</v>
      </c>
      <c r="I974" s="6">
        <f t="shared" si="114"/>
        <v>17</v>
      </c>
      <c r="J974" s="6" t="s">
        <v>10</v>
      </c>
      <c r="K974" s="6" t="s">
        <v>13</v>
      </c>
      <c r="L974" s="6" t="s">
        <v>28</v>
      </c>
      <c r="M974" s="6" t="s">
        <v>28</v>
      </c>
      <c r="N974" s="6" t="s">
        <v>27</v>
      </c>
      <c r="O974" s="6" t="s">
        <v>25</v>
      </c>
      <c r="Q974" s="6" t="s">
        <v>50</v>
      </c>
      <c r="R974" t="str">
        <f t="shared" si="108"/>
        <v>14_29___08/17/2023_2023_MonMon_PTR_OW_OW_Sip_C__Nutri</v>
      </c>
    </row>
    <row r="975" spans="1:18" x14ac:dyDescent="0.25">
      <c r="A975">
        <v>14</v>
      </c>
      <c r="B975">
        <v>30</v>
      </c>
      <c r="E975" s="1">
        <v>45156</v>
      </c>
      <c r="F975" s="11">
        <f t="shared" si="107"/>
        <v>45156</v>
      </c>
      <c r="G975">
        <f t="shared" ref="G975:G987" si="115">YEAR(E975)</f>
        <v>2023</v>
      </c>
      <c r="H975">
        <f t="shared" ref="H975:H987" si="116">MONTH(E975)</f>
        <v>8</v>
      </c>
      <c r="I975">
        <f t="shared" ref="I975:I987" si="117">DAY(E975)</f>
        <v>18</v>
      </c>
      <c r="J975" t="s">
        <v>10</v>
      </c>
      <c r="K975" t="s">
        <v>13</v>
      </c>
      <c r="L975" t="s">
        <v>14</v>
      </c>
      <c r="M975" t="s">
        <v>26</v>
      </c>
      <c r="N975" t="s">
        <v>18</v>
      </c>
      <c r="O975">
        <v>2</v>
      </c>
      <c r="Q975" t="s">
        <v>50</v>
      </c>
      <c r="R975" t="str">
        <f t="shared" si="108"/>
        <v>14_30___08/18/2023_2023_MonMon_PTR_TR_RZ_Rz_2__Nutri</v>
      </c>
    </row>
    <row r="976" spans="1:18" x14ac:dyDescent="0.25">
      <c r="A976">
        <v>14</v>
      </c>
      <c r="B976">
        <v>31</v>
      </c>
      <c r="E976" s="1">
        <v>45156</v>
      </c>
      <c r="F976" s="11">
        <f t="shared" si="107"/>
        <v>45156</v>
      </c>
      <c r="G976">
        <f t="shared" si="115"/>
        <v>2023</v>
      </c>
      <c r="H976">
        <f t="shared" si="116"/>
        <v>8</v>
      </c>
      <c r="I976">
        <f t="shared" si="117"/>
        <v>18</v>
      </c>
      <c r="J976" t="s">
        <v>10</v>
      </c>
      <c r="K976" t="s">
        <v>13</v>
      </c>
      <c r="L976" t="s">
        <v>14</v>
      </c>
      <c r="M976" t="s">
        <v>26</v>
      </c>
      <c r="N976" t="s">
        <v>18</v>
      </c>
      <c r="O976">
        <v>4</v>
      </c>
      <c r="Q976" t="s">
        <v>50</v>
      </c>
      <c r="R976" t="str">
        <f t="shared" si="108"/>
        <v>14_31___08/18/2023_2023_MonMon_PTR_TR_RZ_Rz_4__Nutri</v>
      </c>
    </row>
    <row r="977" spans="1:18" x14ac:dyDescent="0.25">
      <c r="A977">
        <v>14</v>
      </c>
      <c r="B977">
        <v>32</v>
      </c>
      <c r="E977" s="1">
        <v>45156</v>
      </c>
      <c r="F977" s="11">
        <f t="shared" si="107"/>
        <v>45156</v>
      </c>
      <c r="G977">
        <f t="shared" si="115"/>
        <v>2023</v>
      </c>
      <c r="H977">
        <f t="shared" si="116"/>
        <v>8</v>
      </c>
      <c r="I977">
        <f t="shared" si="117"/>
        <v>18</v>
      </c>
      <c r="J977" t="s">
        <v>10</v>
      </c>
      <c r="K977" t="s">
        <v>13</v>
      </c>
      <c r="L977" t="s">
        <v>14</v>
      </c>
      <c r="M977" t="s">
        <v>26</v>
      </c>
      <c r="N977" t="s">
        <v>18</v>
      </c>
      <c r="O977">
        <v>5</v>
      </c>
      <c r="Q977" t="s">
        <v>50</v>
      </c>
      <c r="R977" t="str">
        <f t="shared" si="108"/>
        <v>14_32___08/18/2023_2023_MonMon_PTR_TR_RZ_Rz_5__Nutri</v>
      </c>
    </row>
    <row r="978" spans="1:18" x14ac:dyDescent="0.25">
      <c r="A978">
        <v>14</v>
      </c>
      <c r="B978">
        <v>33</v>
      </c>
      <c r="E978" s="1">
        <v>45156</v>
      </c>
      <c r="F978" s="11">
        <f t="shared" si="107"/>
        <v>45156</v>
      </c>
      <c r="G978">
        <f t="shared" si="115"/>
        <v>2023</v>
      </c>
      <c r="H978">
        <f t="shared" si="116"/>
        <v>8</v>
      </c>
      <c r="I978">
        <f t="shared" si="117"/>
        <v>18</v>
      </c>
      <c r="J978" t="s">
        <v>10</v>
      </c>
      <c r="K978" t="s">
        <v>13</v>
      </c>
      <c r="L978" t="s">
        <v>14</v>
      </c>
      <c r="M978" t="s">
        <v>26</v>
      </c>
      <c r="N978" t="s">
        <v>18</v>
      </c>
      <c r="O978">
        <v>6</v>
      </c>
      <c r="Q978" t="s">
        <v>50</v>
      </c>
      <c r="R978" t="str">
        <f t="shared" si="108"/>
        <v>14_33___08/18/2023_2023_MonMon_PTR_TR_RZ_Rz_6__Nutri</v>
      </c>
    </row>
    <row r="979" spans="1:18" x14ac:dyDescent="0.25">
      <c r="A979">
        <v>14</v>
      </c>
      <c r="B979">
        <v>34</v>
      </c>
      <c r="E979" s="1">
        <v>45156</v>
      </c>
      <c r="F979" s="11">
        <f t="shared" si="107"/>
        <v>45156</v>
      </c>
      <c r="G979">
        <f t="shared" si="115"/>
        <v>2023</v>
      </c>
      <c r="H979">
        <f t="shared" si="116"/>
        <v>8</v>
      </c>
      <c r="I979">
        <f t="shared" si="117"/>
        <v>18</v>
      </c>
      <c r="J979" t="s">
        <v>10</v>
      </c>
      <c r="K979" t="s">
        <v>13</v>
      </c>
      <c r="L979" t="s">
        <v>14</v>
      </c>
      <c r="M979" t="s">
        <v>26</v>
      </c>
      <c r="N979" t="s">
        <v>18</v>
      </c>
      <c r="O979">
        <v>7</v>
      </c>
      <c r="Q979" t="s">
        <v>50</v>
      </c>
      <c r="R979" t="str">
        <f t="shared" si="108"/>
        <v>14_34___08/18/2023_2023_MonMon_PTR_TR_RZ_Rz_7__Nutri</v>
      </c>
    </row>
    <row r="980" spans="1:18" x14ac:dyDescent="0.25">
      <c r="A980">
        <v>14</v>
      </c>
      <c r="B980">
        <v>35</v>
      </c>
      <c r="E980" s="1">
        <v>45156</v>
      </c>
      <c r="F980" s="11">
        <f t="shared" si="107"/>
        <v>45156</v>
      </c>
      <c r="G980">
        <f t="shared" si="115"/>
        <v>2023</v>
      </c>
      <c r="H980">
        <f t="shared" si="116"/>
        <v>8</v>
      </c>
      <c r="I980">
        <f t="shared" si="117"/>
        <v>18</v>
      </c>
      <c r="J980" t="s">
        <v>10</v>
      </c>
      <c r="K980" t="s">
        <v>13</v>
      </c>
      <c r="L980" t="s">
        <v>17</v>
      </c>
      <c r="M980" t="s">
        <v>26</v>
      </c>
      <c r="N980" t="s">
        <v>18</v>
      </c>
      <c r="O980">
        <v>1</v>
      </c>
      <c r="Q980" t="s">
        <v>50</v>
      </c>
      <c r="R980" t="str">
        <f t="shared" si="108"/>
        <v>14_35___08/18/2023_2023_MonMon_PTR_UP_RZ_Rz_1__Nutri</v>
      </c>
    </row>
    <row r="981" spans="1:18" x14ac:dyDescent="0.25">
      <c r="A981">
        <v>14</v>
      </c>
      <c r="B981">
        <v>36</v>
      </c>
      <c r="E981" s="1">
        <v>45156</v>
      </c>
      <c r="F981" s="11">
        <f t="shared" si="107"/>
        <v>45156</v>
      </c>
      <c r="G981">
        <f t="shared" si="115"/>
        <v>2023</v>
      </c>
      <c r="H981">
        <f t="shared" si="116"/>
        <v>8</v>
      </c>
      <c r="I981">
        <f t="shared" si="117"/>
        <v>18</v>
      </c>
      <c r="J981" t="s">
        <v>10</v>
      </c>
      <c r="K981" t="s">
        <v>13</v>
      </c>
      <c r="L981" t="s">
        <v>17</v>
      </c>
      <c r="M981" t="s">
        <v>26</v>
      </c>
      <c r="N981" t="s">
        <v>18</v>
      </c>
      <c r="O981">
        <v>2</v>
      </c>
      <c r="Q981" t="s">
        <v>50</v>
      </c>
      <c r="R981" t="str">
        <f t="shared" si="108"/>
        <v>14_36___08/18/2023_2023_MonMon_PTR_UP_RZ_Rz_2__Nutri</v>
      </c>
    </row>
    <row r="982" spans="1:18" x14ac:dyDescent="0.25">
      <c r="A982">
        <v>14</v>
      </c>
      <c r="B982">
        <v>37</v>
      </c>
      <c r="E982" s="1">
        <v>45156</v>
      </c>
      <c r="F982" s="11">
        <f t="shared" si="107"/>
        <v>45156</v>
      </c>
      <c r="G982">
        <f t="shared" si="115"/>
        <v>2023</v>
      </c>
      <c r="H982">
        <f t="shared" si="116"/>
        <v>8</v>
      </c>
      <c r="I982">
        <f t="shared" si="117"/>
        <v>18</v>
      </c>
      <c r="J982" t="s">
        <v>10</v>
      </c>
      <c r="K982" t="s">
        <v>13</v>
      </c>
      <c r="L982" t="s">
        <v>17</v>
      </c>
      <c r="M982" t="s">
        <v>26</v>
      </c>
      <c r="N982" t="s">
        <v>18</v>
      </c>
      <c r="O982">
        <v>3</v>
      </c>
      <c r="Q982" t="s">
        <v>50</v>
      </c>
      <c r="R982" t="str">
        <f t="shared" si="108"/>
        <v>14_37___08/18/2023_2023_MonMon_PTR_UP_RZ_Rz_3__Nutri</v>
      </c>
    </row>
    <row r="983" spans="1:18" x14ac:dyDescent="0.25">
      <c r="A983">
        <v>14</v>
      </c>
      <c r="B983">
        <v>38</v>
      </c>
      <c r="E983" s="1">
        <v>45156</v>
      </c>
      <c r="F983" s="11">
        <f t="shared" si="107"/>
        <v>45156</v>
      </c>
      <c r="G983">
        <f t="shared" si="115"/>
        <v>2023</v>
      </c>
      <c r="H983">
        <f t="shared" si="116"/>
        <v>8</v>
      </c>
      <c r="I983">
        <f t="shared" si="117"/>
        <v>18</v>
      </c>
      <c r="J983" t="s">
        <v>10</v>
      </c>
      <c r="K983" t="s">
        <v>13</v>
      </c>
      <c r="L983" t="s">
        <v>17</v>
      </c>
      <c r="M983" t="s">
        <v>26</v>
      </c>
      <c r="N983" t="s">
        <v>18</v>
      </c>
      <c r="O983">
        <v>4</v>
      </c>
      <c r="Q983" t="s">
        <v>50</v>
      </c>
      <c r="R983" t="str">
        <f t="shared" si="108"/>
        <v>14_38___08/18/2023_2023_MonMon_PTR_UP_RZ_Rz_4__Nutri</v>
      </c>
    </row>
    <row r="984" spans="1:18" x14ac:dyDescent="0.25">
      <c r="A984">
        <v>14</v>
      </c>
      <c r="B984">
        <v>39</v>
      </c>
      <c r="E984" s="1">
        <v>45156</v>
      </c>
      <c r="F984" s="11">
        <f t="shared" si="107"/>
        <v>45156</v>
      </c>
      <c r="G984">
        <f t="shared" si="115"/>
        <v>2023</v>
      </c>
      <c r="H984">
        <f t="shared" si="116"/>
        <v>8</v>
      </c>
      <c r="I984">
        <f t="shared" si="117"/>
        <v>18</v>
      </c>
      <c r="J984" t="s">
        <v>10</v>
      </c>
      <c r="K984" t="s">
        <v>13</v>
      </c>
      <c r="L984" t="s">
        <v>17</v>
      </c>
      <c r="M984" t="s">
        <v>26</v>
      </c>
      <c r="N984" t="s">
        <v>18</v>
      </c>
      <c r="O984">
        <v>5</v>
      </c>
      <c r="Q984" t="s">
        <v>50</v>
      </c>
      <c r="R984" t="str">
        <f t="shared" si="108"/>
        <v>14_39___08/18/2023_2023_MonMon_PTR_UP_RZ_Rz_5__Nutri</v>
      </c>
    </row>
    <row r="985" spans="1:18" x14ac:dyDescent="0.25">
      <c r="A985">
        <v>14</v>
      </c>
      <c r="B985">
        <v>40</v>
      </c>
      <c r="E985" s="1">
        <v>45156</v>
      </c>
      <c r="F985" s="11">
        <f t="shared" si="107"/>
        <v>45156</v>
      </c>
      <c r="G985">
        <f t="shared" si="115"/>
        <v>2023</v>
      </c>
      <c r="H985">
        <f t="shared" si="116"/>
        <v>8</v>
      </c>
      <c r="I985">
        <f t="shared" si="117"/>
        <v>18</v>
      </c>
      <c r="J985" t="s">
        <v>10</v>
      </c>
      <c r="K985" t="s">
        <v>13</v>
      </c>
      <c r="L985" t="s">
        <v>17</v>
      </c>
      <c r="M985" t="s">
        <v>26</v>
      </c>
      <c r="N985" t="s">
        <v>18</v>
      </c>
      <c r="O985">
        <v>6</v>
      </c>
      <c r="Q985" t="s">
        <v>50</v>
      </c>
      <c r="R985" t="str">
        <f t="shared" si="108"/>
        <v>14_40___08/18/2023_2023_MonMon_PTR_UP_RZ_Rz_6__Nutri</v>
      </c>
    </row>
    <row r="986" spans="1:18" x14ac:dyDescent="0.25">
      <c r="A986">
        <v>14</v>
      </c>
      <c r="B986">
        <v>41</v>
      </c>
      <c r="E986" s="1">
        <v>45156</v>
      </c>
      <c r="F986" s="11">
        <f t="shared" si="107"/>
        <v>45156</v>
      </c>
      <c r="G986">
        <f t="shared" si="115"/>
        <v>2023</v>
      </c>
      <c r="H986">
        <f t="shared" si="116"/>
        <v>8</v>
      </c>
      <c r="I986">
        <f t="shared" si="117"/>
        <v>18</v>
      </c>
      <c r="J986" t="s">
        <v>10</v>
      </c>
      <c r="K986" t="s">
        <v>13</v>
      </c>
      <c r="L986" t="s">
        <v>17</v>
      </c>
      <c r="M986" t="s">
        <v>26</v>
      </c>
      <c r="N986" t="s">
        <v>18</v>
      </c>
      <c r="O986">
        <v>7</v>
      </c>
      <c r="Q986" t="s">
        <v>50</v>
      </c>
      <c r="R986" t="str">
        <f t="shared" si="108"/>
        <v>14_41___08/18/2023_2023_MonMon_PTR_UP_RZ_Rz_7__Nutri</v>
      </c>
    </row>
    <row r="987" spans="1:18" x14ac:dyDescent="0.25">
      <c r="A987">
        <v>14</v>
      </c>
      <c r="B987">
        <v>42</v>
      </c>
      <c r="E987" s="1">
        <v>45156</v>
      </c>
      <c r="F987" s="11">
        <f t="shared" si="107"/>
        <v>45156</v>
      </c>
      <c r="G987">
        <f t="shared" si="115"/>
        <v>2023</v>
      </c>
      <c r="H987">
        <f t="shared" si="116"/>
        <v>8</v>
      </c>
      <c r="I987">
        <f t="shared" si="117"/>
        <v>18</v>
      </c>
      <c r="J987" t="s">
        <v>10</v>
      </c>
      <c r="K987" t="s">
        <v>13</v>
      </c>
      <c r="L987" t="s">
        <v>17</v>
      </c>
      <c r="M987" t="s">
        <v>26</v>
      </c>
      <c r="N987" t="s">
        <v>18</v>
      </c>
      <c r="O987">
        <v>8</v>
      </c>
      <c r="Q987" t="s">
        <v>50</v>
      </c>
      <c r="R987" t="str">
        <f t="shared" si="108"/>
        <v>14_42___08/18/2023_2023_MonMon_PTR_UP_RZ_Rz_8__Nutri</v>
      </c>
    </row>
    <row r="988" spans="1:18" x14ac:dyDescent="0.25">
      <c r="A988">
        <v>14</v>
      </c>
      <c r="B988">
        <v>43</v>
      </c>
      <c r="E988" s="1">
        <v>45170</v>
      </c>
      <c r="F988" s="11">
        <f t="shared" si="107"/>
        <v>45170</v>
      </c>
      <c r="G988">
        <f t="shared" ref="G988:G989" si="118">YEAR(E988)</f>
        <v>2023</v>
      </c>
      <c r="H988">
        <f t="shared" ref="H988:H989" si="119">MONTH(E988)</f>
        <v>9</v>
      </c>
      <c r="I988">
        <f t="shared" ref="I988:I989" si="120">DAY(E988)</f>
        <v>1</v>
      </c>
      <c r="J988" t="s">
        <v>10</v>
      </c>
      <c r="K988" t="s">
        <v>16</v>
      </c>
      <c r="L988" t="s">
        <v>9</v>
      </c>
      <c r="M988" t="s">
        <v>11</v>
      </c>
      <c r="N988" t="s">
        <v>27</v>
      </c>
      <c r="O988" t="s">
        <v>23</v>
      </c>
      <c r="P988">
        <v>10</v>
      </c>
      <c r="Q988" t="s">
        <v>50</v>
      </c>
      <c r="R988" t="str">
        <f t="shared" si="108"/>
        <v>14_43___09/01/2023_2023_MonMon_CRC_W_PW_Sip_A_10_Nutri</v>
      </c>
    </row>
    <row r="989" spans="1:18" x14ac:dyDescent="0.25">
      <c r="A989">
        <v>14</v>
      </c>
      <c r="B989">
        <v>44</v>
      </c>
      <c r="E989" s="1">
        <v>45170</v>
      </c>
      <c r="F989" s="11">
        <f t="shared" si="107"/>
        <v>45170</v>
      </c>
      <c r="G989">
        <f t="shared" si="118"/>
        <v>2023</v>
      </c>
      <c r="H989">
        <f t="shared" si="119"/>
        <v>9</v>
      </c>
      <c r="I989">
        <f t="shared" si="120"/>
        <v>1</v>
      </c>
      <c r="J989" t="s">
        <v>10</v>
      </c>
      <c r="K989" t="s">
        <v>16</v>
      </c>
      <c r="L989" t="s">
        <v>9</v>
      </c>
      <c r="M989" t="s">
        <v>11</v>
      </c>
      <c r="N989" t="s">
        <v>27</v>
      </c>
      <c r="O989" t="s">
        <v>23</v>
      </c>
      <c r="P989">
        <v>20</v>
      </c>
      <c r="Q989" t="s">
        <v>50</v>
      </c>
      <c r="R989" t="str">
        <f t="shared" si="108"/>
        <v>14_44___09/01/2023_2023_MonMon_CRC_W_PW_Sip_A_20_Nutri</v>
      </c>
    </row>
    <row r="990" spans="1:18" x14ac:dyDescent="0.25">
      <c r="A990">
        <v>14</v>
      </c>
      <c r="B990">
        <v>45</v>
      </c>
      <c r="E990" s="1">
        <v>45170</v>
      </c>
      <c r="F990" s="11">
        <f t="shared" si="107"/>
        <v>45170</v>
      </c>
      <c r="G990">
        <f t="shared" ref="G990:G1015" si="121">YEAR(E990)</f>
        <v>2023</v>
      </c>
      <c r="H990">
        <f t="shared" ref="H990:H1015" si="122">MONTH(E990)</f>
        <v>9</v>
      </c>
      <c r="I990">
        <f t="shared" ref="I990:I1015" si="123">DAY(E990)</f>
        <v>1</v>
      </c>
      <c r="J990" t="s">
        <v>10</v>
      </c>
      <c r="K990" t="s">
        <v>16</v>
      </c>
      <c r="L990" t="s">
        <v>9</v>
      </c>
      <c r="M990" t="s">
        <v>11</v>
      </c>
      <c r="N990" t="s">
        <v>27</v>
      </c>
      <c r="O990" t="s">
        <v>23</v>
      </c>
      <c r="P990">
        <v>45</v>
      </c>
      <c r="Q990" t="s">
        <v>50</v>
      </c>
      <c r="R990" t="str">
        <f t="shared" si="108"/>
        <v>14_45___09/01/2023_2023_MonMon_CRC_W_PW_Sip_A_45_Nutri</v>
      </c>
    </row>
    <row r="991" spans="1:18" x14ac:dyDescent="0.25">
      <c r="A991">
        <v>14</v>
      </c>
      <c r="B991">
        <v>46</v>
      </c>
      <c r="E991" s="1">
        <v>45170</v>
      </c>
      <c r="F991" s="11">
        <f t="shared" si="107"/>
        <v>45170</v>
      </c>
      <c r="G991">
        <f t="shared" si="121"/>
        <v>2023</v>
      </c>
      <c r="H991">
        <f t="shared" si="122"/>
        <v>9</v>
      </c>
      <c r="I991">
        <f t="shared" si="123"/>
        <v>1</v>
      </c>
      <c r="J991" t="s">
        <v>10</v>
      </c>
      <c r="K991" t="s">
        <v>16</v>
      </c>
      <c r="L991" t="s">
        <v>9</v>
      </c>
      <c r="M991" t="s">
        <v>11</v>
      </c>
      <c r="N991" t="s">
        <v>27</v>
      </c>
      <c r="O991" t="s">
        <v>24</v>
      </c>
      <c r="P991">
        <v>10</v>
      </c>
      <c r="Q991" t="s">
        <v>50</v>
      </c>
      <c r="R991" t="str">
        <f t="shared" si="108"/>
        <v>14_46___09/01/2023_2023_MonMon_CRC_W_PW_Sip_B_10_Nutri</v>
      </c>
    </row>
    <row r="992" spans="1:18" x14ac:dyDescent="0.25">
      <c r="A992">
        <v>14</v>
      </c>
      <c r="B992">
        <v>47</v>
      </c>
      <c r="E992" s="1">
        <v>45170</v>
      </c>
      <c r="F992" s="11">
        <f t="shared" si="107"/>
        <v>45170</v>
      </c>
      <c r="G992">
        <f t="shared" si="121"/>
        <v>2023</v>
      </c>
      <c r="H992">
        <f t="shared" si="122"/>
        <v>9</v>
      </c>
      <c r="I992">
        <f t="shared" si="123"/>
        <v>1</v>
      </c>
      <c r="J992" t="s">
        <v>10</v>
      </c>
      <c r="K992" t="s">
        <v>16</v>
      </c>
      <c r="L992" t="s">
        <v>9</v>
      </c>
      <c r="M992" t="s">
        <v>11</v>
      </c>
      <c r="N992" t="s">
        <v>27</v>
      </c>
      <c r="O992" t="s">
        <v>24</v>
      </c>
      <c r="P992">
        <v>20</v>
      </c>
      <c r="Q992" t="s">
        <v>50</v>
      </c>
      <c r="R992" t="str">
        <f t="shared" si="108"/>
        <v>14_47___09/01/2023_2023_MonMon_CRC_W_PW_Sip_B_20_Nutri</v>
      </c>
    </row>
    <row r="993" spans="1:18" x14ac:dyDescent="0.25">
      <c r="A993">
        <v>14</v>
      </c>
      <c r="B993">
        <v>48</v>
      </c>
      <c r="E993" s="1">
        <v>45170</v>
      </c>
      <c r="F993" s="11">
        <f t="shared" si="107"/>
        <v>45170</v>
      </c>
      <c r="G993">
        <f t="shared" si="121"/>
        <v>2023</v>
      </c>
      <c r="H993">
        <f t="shared" si="122"/>
        <v>9</v>
      </c>
      <c r="I993">
        <f t="shared" si="123"/>
        <v>1</v>
      </c>
      <c r="J993" t="s">
        <v>10</v>
      </c>
      <c r="K993" t="s">
        <v>16</v>
      </c>
      <c r="L993" t="s">
        <v>9</v>
      </c>
      <c r="M993" t="s">
        <v>11</v>
      </c>
      <c r="N993" t="s">
        <v>27</v>
      </c>
      <c r="O993" t="s">
        <v>24</v>
      </c>
      <c r="P993">
        <v>45</v>
      </c>
      <c r="Q993" t="s">
        <v>50</v>
      </c>
      <c r="R993" t="str">
        <f t="shared" si="108"/>
        <v>14_48___09/01/2023_2023_MonMon_CRC_W_PW_Sip_B_45_Nutri</v>
      </c>
    </row>
    <row r="994" spans="1:18" x14ac:dyDescent="0.25">
      <c r="A994">
        <v>14</v>
      </c>
      <c r="B994">
        <v>49</v>
      </c>
      <c r="E994" s="1">
        <v>45170</v>
      </c>
      <c r="F994" s="11">
        <f t="shared" si="107"/>
        <v>45170</v>
      </c>
      <c r="G994">
        <f t="shared" si="121"/>
        <v>2023</v>
      </c>
      <c r="H994">
        <f t="shared" si="122"/>
        <v>9</v>
      </c>
      <c r="I994">
        <f t="shared" si="123"/>
        <v>1</v>
      </c>
      <c r="J994" t="s">
        <v>10</v>
      </c>
      <c r="K994" t="s">
        <v>16</v>
      </c>
      <c r="L994" t="s">
        <v>9</v>
      </c>
      <c r="M994" t="s">
        <v>11</v>
      </c>
      <c r="N994" t="s">
        <v>27</v>
      </c>
      <c r="O994" t="s">
        <v>25</v>
      </c>
      <c r="P994">
        <v>10</v>
      </c>
      <c r="Q994" t="s">
        <v>50</v>
      </c>
      <c r="R994" t="str">
        <f t="shared" si="108"/>
        <v>14_49___09/01/2023_2023_MonMon_CRC_W_PW_Sip_C_10_Nutri</v>
      </c>
    </row>
    <row r="995" spans="1:18" x14ac:dyDescent="0.25">
      <c r="A995">
        <v>14</v>
      </c>
      <c r="B995">
        <v>50</v>
      </c>
      <c r="E995" s="1">
        <v>45170</v>
      </c>
      <c r="F995" s="11">
        <f t="shared" si="107"/>
        <v>45170</v>
      </c>
      <c r="G995">
        <f t="shared" si="121"/>
        <v>2023</v>
      </c>
      <c r="H995">
        <f t="shared" si="122"/>
        <v>9</v>
      </c>
      <c r="I995">
        <f t="shared" si="123"/>
        <v>1</v>
      </c>
      <c r="J995" t="s">
        <v>10</v>
      </c>
      <c r="K995" t="s">
        <v>16</v>
      </c>
      <c r="L995" t="s">
        <v>9</v>
      </c>
      <c r="M995" t="s">
        <v>11</v>
      </c>
      <c r="N995" t="s">
        <v>27</v>
      </c>
      <c r="O995" t="s">
        <v>25</v>
      </c>
      <c r="P995">
        <v>20</v>
      </c>
      <c r="Q995" t="s">
        <v>50</v>
      </c>
      <c r="R995" t="str">
        <f t="shared" si="108"/>
        <v>14_50___09/01/2023_2023_MonMon_CRC_W_PW_Sip_C_20_Nutri</v>
      </c>
    </row>
    <row r="996" spans="1:18" x14ac:dyDescent="0.25">
      <c r="A996">
        <v>14</v>
      </c>
      <c r="B996">
        <v>51</v>
      </c>
      <c r="E996" s="1">
        <v>45170</v>
      </c>
      <c r="F996" s="11">
        <f t="shared" si="107"/>
        <v>45170</v>
      </c>
      <c r="G996">
        <f t="shared" si="121"/>
        <v>2023</v>
      </c>
      <c r="H996">
        <f t="shared" si="122"/>
        <v>9</v>
      </c>
      <c r="I996">
        <f t="shared" si="123"/>
        <v>1</v>
      </c>
      <c r="J996" t="s">
        <v>10</v>
      </c>
      <c r="K996" t="s">
        <v>16</v>
      </c>
      <c r="L996" t="s">
        <v>9</v>
      </c>
      <c r="M996" t="s">
        <v>11</v>
      </c>
      <c r="N996" t="s">
        <v>27</v>
      </c>
      <c r="O996" t="s">
        <v>25</v>
      </c>
      <c r="P996">
        <v>45</v>
      </c>
      <c r="Q996" t="s">
        <v>50</v>
      </c>
      <c r="R996" t="str">
        <f t="shared" si="108"/>
        <v>14_51___09/01/2023_2023_MonMon_CRC_W_PW_Sip_C_45_Nutri</v>
      </c>
    </row>
    <row r="997" spans="1:18" x14ac:dyDescent="0.25">
      <c r="A997">
        <v>14</v>
      </c>
      <c r="B997">
        <v>52</v>
      </c>
      <c r="E997" s="1">
        <v>45170</v>
      </c>
      <c r="F997" s="11">
        <f t="shared" si="107"/>
        <v>45170</v>
      </c>
      <c r="G997">
        <f t="shared" si="121"/>
        <v>2023</v>
      </c>
      <c r="H997">
        <f t="shared" si="122"/>
        <v>9</v>
      </c>
      <c r="I997">
        <f t="shared" si="123"/>
        <v>1</v>
      </c>
      <c r="J997" t="s">
        <v>10</v>
      </c>
      <c r="K997" t="s">
        <v>16</v>
      </c>
      <c r="L997" t="s">
        <v>14</v>
      </c>
      <c r="M997" t="s">
        <v>11</v>
      </c>
      <c r="N997" t="s">
        <v>15</v>
      </c>
      <c r="O997" t="s">
        <v>23</v>
      </c>
      <c r="P997">
        <v>10</v>
      </c>
      <c r="Q997" t="s">
        <v>50</v>
      </c>
      <c r="R997" t="str">
        <f t="shared" si="108"/>
        <v>14_52___09/01/2023_2023_MonMon_CRC_TR_PW_Lys_A_10_Nutri</v>
      </c>
    </row>
    <row r="998" spans="1:18" x14ac:dyDescent="0.25">
      <c r="A998">
        <v>14</v>
      </c>
      <c r="B998">
        <v>53</v>
      </c>
      <c r="E998" s="1">
        <v>45170</v>
      </c>
      <c r="F998" s="11">
        <f t="shared" si="107"/>
        <v>45170</v>
      </c>
      <c r="G998">
        <f t="shared" si="121"/>
        <v>2023</v>
      </c>
      <c r="H998">
        <f t="shared" si="122"/>
        <v>9</v>
      </c>
      <c r="I998">
        <f t="shared" si="123"/>
        <v>1</v>
      </c>
      <c r="J998" t="s">
        <v>10</v>
      </c>
      <c r="K998" t="s">
        <v>16</v>
      </c>
      <c r="L998" t="s">
        <v>14</v>
      </c>
      <c r="M998" t="s">
        <v>11</v>
      </c>
      <c r="N998" t="s">
        <v>15</v>
      </c>
      <c r="O998" t="s">
        <v>23</v>
      </c>
      <c r="P998">
        <v>20</v>
      </c>
      <c r="Q998" t="s">
        <v>50</v>
      </c>
      <c r="R998" t="str">
        <f t="shared" si="108"/>
        <v>14_53___09/01/2023_2023_MonMon_CRC_TR_PW_Lys_A_20_Nutri</v>
      </c>
    </row>
    <row r="999" spans="1:18" x14ac:dyDescent="0.25">
      <c r="A999">
        <v>14</v>
      </c>
      <c r="B999">
        <v>54</v>
      </c>
      <c r="E999" s="1">
        <v>45170</v>
      </c>
      <c r="F999" s="11">
        <f t="shared" si="107"/>
        <v>45170</v>
      </c>
      <c r="G999">
        <f t="shared" si="121"/>
        <v>2023</v>
      </c>
      <c r="H999">
        <f t="shared" si="122"/>
        <v>9</v>
      </c>
      <c r="I999">
        <f t="shared" si="123"/>
        <v>1</v>
      </c>
      <c r="J999" t="s">
        <v>10</v>
      </c>
      <c r="K999" t="s">
        <v>16</v>
      </c>
      <c r="L999" t="s">
        <v>14</v>
      </c>
      <c r="M999" t="s">
        <v>11</v>
      </c>
      <c r="N999" t="s">
        <v>15</v>
      </c>
      <c r="O999" t="s">
        <v>24</v>
      </c>
      <c r="P999">
        <v>10</v>
      </c>
      <c r="Q999" t="s">
        <v>50</v>
      </c>
      <c r="R999" t="str">
        <f t="shared" si="108"/>
        <v>14_54___09/01/2023_2023_MonMon_CRC_TR_PW_Lys_B_10_Nutri</v>
      </c>
    </row>
    <row r="1000" spans="1:18" x14ac:dyDescent="0.25">
      <c r="A1000">
        <v>14</v>
      </c>
      <c r="B1000">
        <v>55</v>
      </c>
      <c r="E1000" s="1">
        <v>45170</v>
      </c>
      <c r="F1000" s="11">
        <f t="shared" si="107"/>
        <v>45170</v>
      </c>
      <c r="G1000">
        <f t="shared" si="121"/>
        <v>2023</v>
      </c>
      <c r="H1000">
        <f t="shared" si="122"/>
        <v>9</v>
      </c>
      <c r="I1000">
        <f t="shared" si="123"/>
        <v>1</v>
      </c>
      <c r="J1000" t="s">
        <v>10</v>
      </c>
      <c r="K1000" t="s">
        <v>16</v>
      </c>
      <c r="L1000" t="s">
        <v>14</v>
      </c>
      <c r="M1000" t="s">
        <v>11</v>
      </c>
      <c r="N1000" t="s">
        <v>15</v>
      </c>
      <c r="O1000" t="s">
        <v>24</v>
      </c>
      <c r="P1000">
        <v>20</v>
      </c>
      <c r="Q1000" t="s">
        <v>50</v>
      </c>
      <c r="R1000" t="str">
        <f t="shared" si="108"/>
        <v>14_55___09/01/2023_2023_MonMon_CRC_TR_PW_Lys_B_20_Nutri</v>
      </c>
    </row>
    <row r="1001" spans="1:18" x14ac:dyDescent="0.25">
      <c r="A1001">
        <v>14</v>
      </c>
      <c r="B1001">
        <v>56</v>
      </c>
      <c r="E1001" s="1">
        <v>45170</v>
      </c>
      <c r="F1001" s="11">
        <f t="shared" si="107"/>
        <v>45170</v>
      </c>
      <c r="G1001">
        <f t="shared" si="121"/>
        <v>2023</v>
      </c>
      <c r="H1001">
        <f t="shared" si="122"/>
        <v>9</v>
      </c>
      <c r="I1001">
        <f t="shared" si="123"/>
        <v>1</v>
      </c>
      <c r="J1001" t="s">
        <v>10</v>
      </c>
      <c r="K1001" t="s">
        <v>16</v>
      </c>
      <c r="L1001" t="s">
        <v>14</v>
      </c>
      <c r="M1001" t="s">
        <v>11</v>
      </c>
      <c r="N1001" t="s">
        <v>15</v>
      </c>
      <c r="O1001" t="s">
        <v>24</v>
      </c>
      <c r="P1001">
        <v>45</v>
      </c>
      <c r="Q1001" t="s">
        <v>50</v>
      </c>
      <c r="R1001" t="str">
        <f t="shared" si="108"/>
        <v>14_56___09/01/2023_2023_MonMon_CRC_TR_PW_Lys_B_45_Nutri</v>
      </c>
    </row>
    <row r="1002" spans="1:18" x14ac:dyDescent="0.25">
      <c r="A1002">
        <v>14</v>
      </c>
      <c r="B1002">
        <v>57</v>
      </c>
      <c r="E1002" s="1">
        <v>45170</v>
      </c>
      <c r="F1002" s="11">
        <f t="shared" si="107"/>
        <v>45170</v>
      </c>
      <c r="G1002">
        <f t="shared" si="121"/>
        <v>2023</v>
      </c>
      <c r="H1002">
        <f t="shared" si="122"/>
        <v>9</v>
      </c>
      <c r="I1002">
        <f t="shared" si="123"/>
        <v>1</v>
      </c>
      <c r="J1002" t="s">
        <v>10</v>
      </c>
      <c r="K1002" t="s">
        <v>16</v>
      </c>
      <c r="L1002" t="s">
        <v>14</v>
      </c>
      <c r="M1002" t="s">
        <v>11</v>
      </c>
      <c r="N1002" t="s">
        <v>15</v>
      </c>
      <c r="O1002" t="s">
        <v>25</v>
      </c>
      <c r="P1002">
        <v>10</v>
      </c>
      <c r="Q1002" t="s">
        <v>50</v>
      </c>
      <c r="R1002" t="str">
        <f t="shared" si="108"/>
        <v>14_57___09/01/2023_2023_MonMon_CRC_TR_PW_Lys_C_10_Nutri</v>
      </c>
    </row>
    <row r="1003" spans="1:18" x14ac:dyDescent="0.25">
      <c r="A1003">
        <v>14</v>
      </c>
      <c r="B1003">
        <v>58</v>
      </c>
      <c r="E1003" s="1">
        <v>45170</v>
      </c>
      <c r="F1003" s="11">
        <f t="shared" si="107"/>
        <v>45170</v>
      </c>
      <c r="G1003">
        <f t="shared" si="121"/>
        <v>2023</v>
      </c>
      <c r="H1003">
        <f t="shared" si="122"/>
        <v>9</v>
      </c>
      <c r="I1003">
        <f t="shared" si="123"/>
        <v>1</v>
      </c>
      <c r="J1003" t="s">
        <v>10</v>
      </c>
      <c r="K1003" t="s">
        <v>16</v>
      </c>
      <c r="L1003" t="s">
        <v>14</v>
      </c>
      <c r="M1003" t="s">
        <v>11</v>
      </c>
      <c r="N1003" t="s">
        <v>15</v>
      </c>
      <c r="O1003" t="s">
        <v>25</v>
      </c>
      <c r="P1003">
        <v>20</v>
      </c>
      <c r="Q1003" t="s">
        <v>50</v>
      </c>
      <c r="R1003" t="str">
        <f t="shared" si="108"/>
        <v>14_58___09/01/2023_2023_MonMon_CRC_TR_PW_Lys_C_20_Nutri</v>
      </c>
    </row>
    <row r="1004" spans="1:18" x14ac:dyDescent="0.25">
      <c r="A1004">
        <v>14</v>
      </c>
      <c r="B1004">
        <v>59</v>
      </c>
      <c r="E1004" s="1">
        <v>45170</v>
      </c>
      <c r="F1004" s="11">
        <f t="shared" si="107"/>
        <v>45170</v>
      </c>
      <c r="G1004">
        <f t="shared" si="121"/>
        <v>2023</v>
      </c>
      <c r="H1004">
        <f t="shared" si="122"/>
        <v>9</v>
      </c>
      <c r="I1004">
        <f t="shared" si="123"/>
        <v>1</v>
      </c>
      <c r="J1004" t="s">
        <v>10</v>
      </c>
      <c r="K1004" t="s">
        <v>16</v>
      </c>
      <c r="L1004" t="s">
        <v>14</v>
      </c>
      <c r="M1004" t="s">
        <v>11</v>
      </c>
      <c r="N1004" t="s">
        <v>15</v>
      </c>
      <c r="O1004" t="s">
        <v>25</v>
      </c>
      <c r="P1004">
        <v>45</v>
      </c>
      <c r="Q1004" t="s">
        <v>50</v>
      </c>
      <c r="R1004" t="str">
        <f t="shared" si="108"/>
        <v>14_59___09/01/2023_2023_MonMon_CRC_TR_PW_Lys_C_45_Nutri</v>
      </c>
    </row>
    <row r="1005" spans="1:18" x14ac:dyDescent="0.25">
      <c r="A1005">
        <v>14</v>
      </c>
      <c r="B1005">
        <v>60</v>
      </c>
      <c r="E1005" s="1">
        <v>45170</v>
      </c>
      <c r="F1005" s="11">
        <f t="shared" si="107"/>
        <v>45170</v>
      </c>
      <c r="G1005">
        <f t="shared" si="121"/>
        <v>2023</v>
      </c>
      <c r="H1005">
        <f t="shared" si="122"/>
        <v>9</v>
      </c>
      <c r="I1005">
        <f t="shared" si="123"/>
        <v>1</v>
      </c>
      <c r="J1005" t="s">
        <v>10</v>
      </c>
      <c r="K1005" t="s">
        <v>16</v>
      </c>
      <c r="L1005" t="s">
        <v>14</v>
      </c>
      <c r="M1005" t="s">
        <v>11</v>
      </c>
      <c r="N1005" t="s">
        <v>27</v>
      </c>
      <c r="O1005" t="s">
        <v>24</v>
      </c>
      <c r="P1005">
        <v>45</v>
      </c>
      <c r="Q1005" t="s">
        <v>50</v>
      </c>
      <c r="R1005" t="str">
        <f t="shared" si="108"/>
        <v>14_60___09/01/2023_2023_MonMon_CRC_TR_PW_Sip_B_45_Nutri</v>
      </c>
    </row>
    <row r="1006" spans="1:18" x14ac:dyDescent="0.25">
      <c r="A1006">
        <v>14</v>
      </c>
      <c r="B1006">
        <v>61</v>
      </c>
      <c r="E1006" s="1">
        <v>45170</v>
      </c>
      <c r="F1006" s="11">
        <f t="shared" si="107"/>
        <v>45170</v>
      </c>
      <c r="G1006">
        <f t="shared" si="121"/>
        <v>2023</v>
      </c>
      <c r="H1006">
        <f t="shared" si="122"/>
        <v>9</v>
      </c>
      <c r="I1006">
        <f t="shared" si="123"/>
        <v>1</v>
      </c>
      <c r="J1006" t="s">
        <v>10</v>
      </c>
      <c r="K1006" t="s">
        <v>16</v>
      </c>
      <c r="L1006" t="s">
        <v>14</v>
      </c>
      <c r="M1006" t="s">
        <v>11</v>
      </c>
      <c r="N1006" t="s">
        <v>27</v>
      </c>
      <c r="O1006" t="s">
        <v>25</v>
      </c>
      <c r="P1006">
        <v>45</v>
      </c>
      <c r="Q1006" t="s">
        <v>50</v>
      </c>
      <c r="R1006" t="str">
        <f t="shared" si="108"/>
        <v>14_61___09/01/2023_2023_MonMon_CRC_TR_PW_Sip_C_45_Nutri</v>
      </c>
    </row>
    <row r="1007" spans="1:18" s="6" customFormat="1" x14ac:dyDescent="0.25">
      <c r="A1007" s="6">
        <v>14</v>
      </c>
      <c r="B1007" s="6">
        <v>62</v>
      </c>
      <c r="E1007" s="7">
        <v>45170</v>
      </c>
      <c r="F1007" s="11">
        <f t="shared" si="107"/>
        <v>45170</v>
      </c>
      <c r="G1007" s="6">
        <f t="shared" si="121"/>
        <v>2023</v>
      </c>
      <c r="H1007" s="6">
        <f t="shared" si="122"/>
        <v>9</v>
      </c>
      <c r="I1007" s="6">
        <f t="shared" si="123"/>
        <v>1</v>
      </c>
      <c r="J1007" s="6" t="s">
        <v>10</v>
      </c>
      <c r="K1007" s="6" t="s">
        <v>16</v>
      </c>
      <c r="L1007" s="6" t="s">
        <v>28</v>
      </c>
      <c r="M1007" s="6" t="s">
        <v>28</v>
      </c>
      <c r="N1007" s="6" t="s">
        <v>27</v>
      </c>
      <c r="O1007" s="6" t="s">
        <v>23</v>
      </c>
      <c r="Q1007" s="6" t="s">
        <v>50</v>
      </c>
      <c r="R1007" t="str">
        <f t="shared" si="108"/>
        <v>14_62___09/01/2023_2023_MonMon_CRC_OW_OW_Sip_A__Nutri</v>
      </c>
    </row>
    <row r="1008" spans="1:18" s="6" customFormat="1" x14ac:dyDescent="0.25">
      <c r="A1008" s="6">
        <v>14</v>
      </c>
      <c r="B1008" s="6">
        <v>63</v>
      </c>
      <c r="E1008" s="7">
        <v>45170</v>
      </c>
      <c r="F1008" s="11">
        <f t="shared" si="107"/>
        <v>45170</v>
      </c>
      <c r="G1008" s="6">
        <f t="shared" si="121"/>
        <v>2023</v>
      </c>
      <c r="H1008" s="6">
        <f t="shared" si="122"/>
        <v>9</v>
      </c>
      <c r="I1008" s="6">
        <f t="shared" si="123"/>
        <v>1</v>
      </c>
      <c r="J1008" s="6" t="s">
        <v>10</v>
      </c>
      <c r="K1008" s="6" t="s">
        <v>16</v>
      </c>
      <c r="L1008" s="6" t="s">
        <v>28</v>
      </c>
      <c r="M1008" s="6" t="s">
        <v>28</v>
      </c>
      <c r="N1008" s="6" t="s">
        <v>27</v>
      </c>
      <c r="O1008" s="6" t="s">
        <v>24</v>
      </c>
      <c r="Q1008" s="6" t="s">
        <v>50</v>
      </c>
      <c r="R1008" t="str">
        <f t="shared" si="108"/>
        <v>14_63___09/01/2023_2023_MonMon_CRC_OW_OW_Sip_B__Nutri</v>
      </c>
    </row>
    <row r="1009" spans="1:18" s="6" customFormat="1" x14ac:dyDescent="0.25">
      <c r="A1009" s="6">
        <v>14</v>
      </c>
      <c r="B1009" s="6">
        <v>64</v>
      </c>
      <c r="E1009" s="7">
        <v>45170</v>
      </c>
      <c r="F1009" s="11">
        <f t="shared" si="107"/>
        <v>45170</v>
      </c>
      <c r="G1009" s="6">
        <f t="shared" si="121"/>
        <v>2023</v>
      </c>
      <c r="H1009" s="6">
        <f t="shared" si="122"/>
        <v>9</v>
      </c>
      <c r="I1009" s="6">
        <f t="shared" si="123"/>
        <v>1</v>
      </c>
      <c r="J1009" s="6" t="s">
        <v>10</v>
      </c>
      <c r="K1009" s="6" t="s">
        <v>16</v>
      </c>
      <c r="L1009" s="6" t="s">
        <v>28</v>
      </c>
      <c r="M1009" s="6" t="s">
        <v>28</v>
      </c>
      <c r="N1009" s="6" t="s">
        <v>27</v>
      </c>
      <c r="O1009" s="6" t="s">
        <v>25</v>
      </c>
      <c r="Q1009" s="6" t="s">
        <v>50</v>
      </c>
      <c r="R1009" t="str">
        <f t="shared" si="108"/>
        <v>14_64___09/01/2023_2023_MonMon_CRC_OW_OW_Sip_C__Nutri</v>
      </c>
    </row>
    <row r="1010" spans="1:18" x14ac:dyDescent="0.25">
      <c r="A1010">
        <v>14</v>
      </c>
      <c r="B1010">
        <v>65</v>
      </c>
      <c r="E1010" s="1">
        <v>45170</v>
      </c>
      <c r="F1010" s="11">
        <f t="shared" si="107"/>
        <v>45170</v>
      </c>
      <c r="G1010">
        <f t="shared" si="121"/>
        <v>2023</v>
      </c>
      <c r="H1010">
        <f t="shared" si="122"/>
        <v>9</v>
      </c>
      <c r="I1010">
        <f t="shared" si="123"/>
        <v>1</v>
      </c>
      <c r="J1010" t="s">
        <v>10</v>
      </c>
      <c r="K1010" t="s">
        <v>16</v>
      </c>
      <c r="L1010" t="s">
        <v>9</v>
      </c>
      <c r="M1010" t="s">
        <v>33</v>
      </c>
      <c r="N1010" t="s">
        <v>27</v>
      </c>
      <c r="O1010" t="s">
        <v>23</v>
      </c>
      <c r="Q1010" t="s">
        <v>50</v>
      </c>
      <c r="R1010" t="str">
        <f t="shared" si="108"/>
        <v>14_65___09/01/2023_2023_MonMon_CRC_W_GW_Sip_A__Nutri</v>
      </c>
    </row>
    <row r="1011" spans="1:18" x14ac:dyDescent="0.25">
      <c r="A1011">
        <v>14</v>
      </c>
      <c r="B1011">
        <v>66</v>
      </c>
      <c r="E1011" s="1">
        <v>45170</v>
      </c>
      <c r="F1011" s="11">
        <f t="shared" si="107"/>
        <v>45170</v>
      </c>
      <c r="G1011">
        <f t="shared" si="121"/>
        <v>2023</v>
      </c>
      <c r="H1011">
        <f t="shared" si="122"/>
        <v>9</v>
      </c>
      <c r="I1011">
        <f t="shared" si="123"/>
        <v>1</v>
      </c>
      <c r="J1011" t="s">
        <v>10</v>
      </c>
      <c r="K1011" t="s">
        <v>16</v>
      </c>
      <c r="L1011" t="s">
        <v>9</v>
      </c>
      <c r="M1011" t="s">
        <v>33</v>
      </c>
      <c r="N1011" t="s">
        <v>27</v>
      </c>
      <c r="O1011" t="s">
        <v>24</v>
      </c>
      <c r="Q1011" t="s">
        <v>50</v>
      </c>
      <c r="R1011" t="str">
        <f t="shared" si="108"/>
        <v>14_66___09/01/2023_2023_MonMon_CRC_W_GW_Sip_B__Nutri</v>
      </c>
    </row>
    <row r="1012" spans="1:18" x14ac:dyDescent="0.25">
      <c r="A1012">
        <v>14</v>
      </c>
      <c r="B1012">
        <v>67</v>
      </c>
      <c r="E1012" s="1">
        <v>45170</v>
      </c>
      <c r="F1012" s="11">
        <f t="shared" si="107"/>
        <v>45170</v>
      </c>
      <c r="G1012">
        <f t="shared" si="121"/>
        <v>2023</v>
      </c>
      <c r="H1012">
        <f t="shared" si="122"/>
        <v>9</v>
      </c>
      <c r="I1012">
        <f t="shared" si="123"/>
        <v>1</v>
      </c>
      <c r="J1012" t="s">
        <v>10</v>
      </c>
      <c r="K1012" t="s">
        <v>16</v>
      </c>
      <c r="L1012" t="s">
        <v>9</v>
      </c>
      <c r="M1012" t="s">
        <v>33</v>
      </c>
      <c r="N1012" t="s">
        <v>27</v>
      </c>
      <c r="O1012" t="s">
        <v>25</v>
      </c>
      <c r="Q1012" t="s">
        <v>50</v>
      </c>
      <c r="R1012" t="str">
        <f t="shared" si="108"/>
        <v>14_67___09/01/2023_2023_MonMon_CRC_W_GW_Sip_C__Nutri</v>
      </c>
    </row>
    <row r="1013" spans="1:18" x14ac:dyDescent="0.25">
      <c r="A1013">
        <v>14</v>
      </c>
      <c r="B1013">
        <v>68</v>
      </c>
      <c r="E1013" s="1">
        <v>45170</v>
      </c>
      <c r="F1013" s="11">
        <f t="shared" si="107"/>
        <v>45170</v>
      </c>
      <c r="G1013">
        <f t="shared" si="121"/>
        <v>2023</v>
      </c>
      <c r="H1013">
        <f t="shared" si="122"/>
        <v>9</v>
      </c>
      <c r="I1013">
        <f t="shared" si="123"/>
        <v>1</v>
      </c>
      <c r="J1013" t="s">
        <v>10</v>
      </c>
      <c r="K1013" t="s">
        <v>16</v>
      </c>
      <c r="L1013" t="s">
        <v>14</v>
      </c>
      <c r="M1013" t="s">
        <v>33</v>
      </c>
      <c r="N1013" t="s">
        <v>27</v>
      </c>
      <c r="O1013" t="s">
        <v>23</v>
      </c>
      <c r="Q1013" t="s">
        <v>50</v>
      </c>
      <c r="R1013" t="str">
        <f t="shared" si="108"/>
        <v>14_68___09/01/2023_2023_MonMon_CRC_TR_GW_Sip_A__Nutri</v>
      </c>
    </row>
    <row r="1014" spans="1:18" x14ac:dyDescent="0.25">
      <c r="A1014">
        <v>14</v>
      </c>
      <c r="B1014">
        <v>69</v>
      </c>
      <c r="E1014" s="1">
        <v>45170</v>
      </c>
      <c r="F1014" s="11">
        <f t="shared" si="107"/>
        <v>45170</v>
      </c>
      <c r="G1014">
        <f t="shared" si="121"/>
        <v>2023</v>
      </c>
      <c r="H1014">
        <f t="shared" si="122"/>
        <v>9</v>
      </c>
      <c r="I1014">
        <f t="shared" si="123"/>
        <v>1</v>
      </c>
      <c r="J1014" t="s">
        <v>10</v>
      </c>
      <c r="K1014" t="s">
        <v>16</v>
      </c>
      <c r="L1014" t="s">
        <v>14</v>
      </c>
      <c r="M1014" t="s">
        <v>33</v>
      </c>
      <c r="N1014" t="s">
        <v>27</v>
      </c>
      <c r="O1014" t="s">
        <v>24</v>
      </c>
      <c r="Q1014" t="s">
        <v>50</v>
      </c>
      <c r="R1014" t="str">
        <f t="shared" si="108"/>
        <v>14_69___09/01/2023_2023_MonMon_CRC_TR_GW_Sip_B__Nutri</v>
      </c>
    </row>
    <row r="1015" spans="1:18" x14ac:dyDescent="0.25">
      <c r="A1015">
        <v>14</v>
      </c>
      <c r="B1015">
        <v>70</v>
      </c>
      <c r="E1015" s="1">
        <v>45170</v>
      </c>
      <c r="F1015" s="11">
        <f t="shared" si="107"/>
        <v>45170</v>
      </c>
      <c r="G1015">
        <f t="shared" si="121"/>
        <v>2023</v>
      </c>
      <c r="H1015">
        <f t="shared" si="122"/>
        <v>9</v>
      </c>
      <c r="I1015">
        <f t="shared" si="123"/>
        <v>1</v>
      </c>
      <c r="J1015" t="s">
        <v>10</v>
      </c>
      <c r="K1015" t="s">
        <v>16</v>
      </c>
      <c r="L1015" t="s">
        <v>14</v>
      </c>
      <c r="M1015" t="s">
        <v>33</v>
      </c>
      <c r="N1015" t="s">
        <v>27</v>
      </c>
      <c r="O1015" t="s">
        <v>25</v>
      </c>
      <c r="Q1015" t="s">
        <v>50</v>
      </c>
      <c r="R1015" t="str">
        <f t="shared" si="108"/>
        <v>14_70___09/01/2023_2023_MonMon_CRC_TR_GW_Sip_C__Nutri</v>
      </c>
    </row>
    <row r="1016" spans="1:18" x14ac:dyDescent="0.25">
      <c r="A1016">
        <v>14</v>
      </c>
      <c r="B1016">
        <v>71</v>
      </c>
      <c r="E1016" s="1">
        <v>45177</v>
      </c>
      <c r="F1016" s="11">
        <f t="shared" si="107"/>
        <v>45177</v>
      </c>
      <c r="G1016">
        <f t="shared" ref="G1016:G1017" si="124">YEAR(E1016)</f>
        <v>2023</v>
      </c>
      <c r="H1016">
        <f t="shared" ref="H1016:H1017" si="125">MONTH(E1016)</f>
        <v>9</v>
      </c>
      <c r="I1016">
        <f t="shared" ref="I1016:I1017" si="126">DAY(E1016)</f>
        <v>8</v>
      </c>
      <c r="J1016" t="s">
        <v>10</v>
      </c>
      <c r="K1016" t="s">
        <v>8</v>
      </c>
      <c r="L1016" t="s">
        <v>9</v>
      </c>
      <c r="M1016" t="s">
        <v>11</v>
      </c>
      <c r="N1016" t="s">
        <v>27</v>
      </c>
      <c r="O1016" t="s">
        <v>23</v>
      </c>
      <c r="P1016">
        <v>45</v>
      </c>
      <c r="Q1016" t="s">
        <v>50</v>
      </c>
      <c r="R1016" t="str">
        <f t="shared" si="108"/>
        <v>14_71___09/08/2023_2023_MonMon_OWC_W_PW_Sip_A_45_Nutri</v>
      </c>
    </row>
    <row r="1017" spans="1:18" x14ac:dyDescent="0.25">
      <c r="A1017">
        <v>14</v>
      </c>
      <c r="B1017">
        <v>72</v>
      </c>
      <c r="E1017" s="1">
        <v>45177</v>
      </c>
      <c r="F1017" s="11">
        <f t="shared" si="107"/>
        <v>45177</v>
      </c>
      <c r="G1017">
        <f t="shared" si="124"/>
        <v>2023</v>
      </c>
      <c r="H1017">
        <f t="shared" si="125"/>
        <v>9</v>
      </c>
      <c r="I1017">
        <f t="shared" si="126"/>
        <v>8</v>
      </c>
      <c r="J1017" t="s">
        <v>10</v>
      </c>
      <c r="K1017" t="s">
        <v>8</v>
      </c>
      <c r="L1017" t="s">
        <v>9</v>
      </c>
      <c r="M1017" t="s">
        <v>11</v>
      </c>
      <c r="N1017" t="s">
        <v>27</v>
      </c>
      <c r="O1017" t="s">
        <v>24</v>
      </c>
      <c r="P1017">
        <v>45</v>
      </c>
      <c r="Q1017" t="s">
        <v>50</v>
      </c>
      <c r="R1017" t="str">
        <f t="shared" si="108"/>
        <v>14_72___09/08/2023_2023_MonMon_OWC_W_PW_Sip_B_45_Nutri</v>
      </c>
    </row>
    <row r="1018" spans="1:18" x14ac:dyDescent="0.25">
      <c r="A1018">
        <v>14</v>
      </c>
      <c r="B1018">
        <v>73</v>
      </c>
      <c r="E1018" s="1">
        <v>45177</v>
      </c>
      <c r="F1018" s="11">
        <f t="shared" si="107"/>
        <v>45177</v>
      </c>
      <c r="G1018">
        <f t="shared" ref="G1018:G1041" si="127">YEAR(E1018)</f>
        <v>2023</v>
      </c>
      <c r="H1018">
        <f t="shared" ref="H1018:H1041" si="128">MONTH(E1018)</f>
        <v>9</v>
      </c>
      <c r="I1018">
        <f t="shared" ref="I1018:I1041" si="129">DAY(E1018)</f>
        <v>8</v>
      </c>
      <c r="J1018" t="s">
        <v>10</v>
      </c>
      <c r="K1018" t="s">
        <v>8</v>
      </c>
      <c r="L1018" t="s">
        <v>9</v>
      </c>
      <c r="M1018" t="s">
        <v>11</v>
      </c>
      <c r="N1018" t="s">
        <v>27</v>
      </c>
      <c r="O1018" t="s">
        <v>25</v>
      </c>
      <c r="P1018">
        <v>45</v>
      </c>
      <c r="Q1018" t="s">
        <v>50</v>
      </c>
      <c r="R1018" t="str">
        <f t="shared" si="108"/>
        <v>14_73___09/08/2023_2023_MonMon_OWC_W_PW_Sip_C_45_Nutri</v>
      </c>
    </row>
    <row r="1019" spans="1:18" x14ac:dyDescent="0.25">
      <c r="A1019">
        <v>14</v>
      </c>
      <c r="B1019">
        <v>74</v>
      </c>
      <c r="E1019" s="1">
        <v>45177</v>
      </c>
      <c r="F1019" s="11">
        <f t="shared" si="107"/>
        <v>45177</v>
      </c>
      <c r="G1019">
        <f t="shared" si="127"/>
        <v>2023</v>
      </c>
      <c r="H1019">
        <f t="shared" si="128"/>
        <v>9</v>
      </c>
      <c r="I1019">
        <f t="shared" si="129"/>
        <v>8</v>
      </c>
      <c r="J1019" t="s">
        <v>10</v>
      </c>
      <c r="K1019" t="s">
        <v>8</v>
      </c>
      <c r="L1019" t="s">
        <v>14</v>
      </c>
      <c r="M1019" t="s">
        <v>11</v>
      </c>
      <c r="N1019" t="s">
        <v>15</v>
      </c>
      <c r="O1019" t="s">
        <v>23</v>
      </c>
      <c r="P1019">
        <v>10</v>
      </c>
      <c r="Q1019" t="s">
        <v>50</v>
      </c>
      <c r="R1019" t="str">
        <f t="shared" si="108"/>
        <v>14_74___09/08/2023_2023_MonMon_OWC_TR_PW_Lys_A_10_Nutri</v>
      </c>
    </row>
    <row r="1020" spans="1:18" x14ac:dyDescent="0.25">
      <c r="A1020">
        <v>14</v>
      </c>
      <c r="B1020">
        <v>75</v>
      </c>
      <c r="E1020" s="1">
        <v>45177</v>
      </c>
      <c r="F1020" s="11">
        <f t="shared" si="107"/>
        <v>45177</v>
      </c>
      <c r="G1020">
        <f t="shared" si="127"/>
        <v>2023</v>
      </c>
      <c r="H1020">
        <f t="shared" si="128"/>
        <v>9</v>
      </c>
      <c r="I1020">
        <f t="shared" si="129"/>
        <v>8</v>
      </c>
      <c r="J1020" t="s">
        <v>10</v>
      </c>
      <c r="K1020" t="s">
        <v>8</v>
      </c>
      <c r="L1020" t="s">
        <v>14</v>
      </c>
      <c r="M1020" t="s">
        <v>11</v>
      </c>
      <c r="N1020" t="s">
        <v>15</v>
      </c>
      <c r="O1020" t="s">
        <v>23</v>
      </c>
      <c r="P1020">
        <v>20</v>
      </c>
      <c r="Q1020" t="s">
        <v>50</v>
      </c>
      <c r="R1020" t="str">
        <f t="shared" si="108"/>
        <v>14_75___09/08/2023_2023_MonMon_OWC_TR_PW_Lys_A_20_Nutri</v>
      </c>
    </row>
    <row r="1021" spans="1:18" x14ac:dyDescent="0.25">
      <c r="A1021">
        <v>14</v>
      </c>
      <c r="B1021">
        <v>76</v>
      </c>
      <c r="E1021" s="1">
        <v>45177</v>
      </c>
      <c r="F1021" s="11">
        <f t="shared" si="107"/>
        <v>45177</v>
      </c>
      <c r="G1021">
        <f t="shared" si="127"/>
        <v>2023</v>
      </c>
      <c r="H1021">
        <f t="shared" si="128"/>
        <v>9</v>
      </c>
      <c r="I1021">
        <f t="shared" si="129"/>
        <v>8</v>
      </c>
      <c r="J1021" t="s">
        <v>10</v>
      </c>
      <c r="K1021" t="s">
        <v>8</v>
      </c>
      <c r="L1021" t="s">
        <v>14</v>
      </c>
      <c r="M1021" t="s">
        <v>11</v>
      </c>
      <c r="N1021" t="s">
        <v>15</v>
      </c>
      <c r="O1021" t="s">
        <v>23</v>
      </c>
      <c r="P1021">
        <v>45</v>
      </c>
      <c r="Q1021" t="s">
        <v>50</v>
      </c>
      <c r="R1021" t="str">
        <f t="shared" si="108"/>
        <v>14_76___09/08/2023_2023_MonMon_OWC_TR_PW_Lys_A_45_Nutri</v>
      </c>
    </row>
    <row r="1022" spans="1:18" x14ac:dyDescent="0.25">
      <c r="A1022">
        <v>14</v>
      </c>
      <c r="B1022">
        <v>77</v>
      </c>
      <c r="E1022" s="1">
        <v>45177</v>
      </c>
      <c r="F1022" s="11">
        <f t="shared" si="107"/>
        <v>45177</v>
      </c>
      <c r="G1022">
        <f t="shared" si="127"/>
        <v>2023</v>
      </c>
      <c r="H1022">
        <f t="shared" si="128"/>
        <v>9</v>
      </c>
      <c r="I1022">
        <f t="shared" si="129"/>
        <v>8</v>
      </c>
      <c r="J1022" t="s">
        <v>10</v>
      </c>
      <c r="K1022" t="s">
        <v>8</v>
      </c>
      <c r="L1022" t="s">
        <v>14</v>
      </c>
      <c r="M1022" t="s">
        <v>11</v>
      </c>
      <c r="N1022" t="s">
        <v>15</v>
      </c>
      <c r="O1022" t="s">
        <v>24</v>
      </c>
      <c r="P1022">
        <v>10</v>
      </c>
      <c r="Q1022" t="s">
        <v>50</v>
      </c>
      <c r="R1022" t="str">
        <f t="shared" si="108"/>
        <v>14_77___09/08/2023_2023_MonMon_OWC_TR_PW_Lys_B_10_Nutri</v>
      </c>
    </row>
    <row r="1023" spans="1:18" x14ac:dyDescent="0.25">
      <c r="A1023">
        <v>14</v>
      </c>
      <c r="B1023">
        <v>78</v>
      </c>
      <c r="E1023" s="1">
        <v>45177</v>
      </c>
      <c r="F1023" s="11">
        <f t="shared" si="107"/>
        <v>45177</v>
      </c>
      <c r="G1023">
        <f t="shared" si="127"/>
        <v>2023</v>
      </c>
      <c r="H1023">
        <f t="shared" si="128"/>
        <v>9</v>
      </c>
      <c r="I1023">
        <f t="shared" si="129"/>
        <v>8</v>
      </c>
      <c r="J1023" t="s">
        <v>10</v>
      </c>
      <c r="K1023" t="s">
        <v>8</v>
      </c>
      <c r="L1023" t="s">
        <v>14</v>
      </c>
      <c r="M1023" t="s">
        <v>11</v>
      </c>
      <c r="N1023" t="s">
        <v>15</v>
      </c>
      <c r="O1023" t="s">
        <v>24</v>
      </c>
      <c r="P1023">
        <v>20</v>
      </c>
      <c r="Q1023" t="s">
        <v>50</v>
      </c>
      <c r="R1023" t="str">
        <f t="shared" si="108"/>
        <v>14_78___09/08/2023_2023_MonMon_OWC_TR_PW_Lys_B_20_Nutri</v>
      </c>
    </row>
    <row r="1024" spans="1:18" x14ac:dyDescent="0.25">
      <c r="A1024">
        <v>14</v>
      </c>
      <c r="B1024">
        <v>79</v>
      </c>
      <c r="E1024" s="1">
        <v>45177</v>
      </c>
      <c r="F1024" s="11">
        <f t="shared" si="107"/>
        <v>45177</v>
      </c>
      <c r="G1024">
        <f t="shared" si="127"/>
        <v>2023</v>
      </c>
      <c r="H1024">
        <f t="shared" si="128"/>
        <v>9</v>
      </c>
      <c r="I1024">
        <f t="shared" si="129"/>
        <v>8</v>
      </c>
      <c r="J1024" t="s">
        <v>10</v>
      </c>
      <c r="K1024" t="s">
        <v>8</v>
      </c>
      <c r="L1024" t="s">
        <v>14</v>
      </c>
      <c r="M1024" t="s">
        <v>11</v>
      </c>
      <c r="N1024" t="s">
        <v>15</v>
      </c>
      <c r="O1024" t="s">
        <v>24</v>
      </c>
      <c r="P1024">
        <v>45</v>
      </c>
      <c r="Q1024" t="s">
        <v>50</v>
      </c>
      <c r="R1024" t="str">
        <f t="shared" si="108"/>
        <v>14_79___09/08/2023_2023_MonMon_OWC_TR_PW_Lys_B_45_Nutri</v>
      </c>
    </row>
    <row r="1025" spans="1:18" x14ac:dyDescent="0.25">
      <c r="A1025">
        <v>14</v>
      </c>
      <c r="B1025">
        <v>80</v>
      </c>
      <c r="E1025" s="1">
        <v>45177</v>
      </c>
      <c r="F1025" s="11">
        <f t="shared" si="107"/>
        <v>45177</v>
      </c>
      <c r="G1025">
        <f t="shared" si="127"/>
        <v>2023</v>
      </c>
      <c r="H1025">
        <f t="shared" si="128"/>
        <v>9</v>
      </c>
      <c r="I1025">
        <f t="shared" si="129"/>
        <v>8</v>
      </c>
      <c r="J1025" t="s">
        <v>10</v>
      </c>
      <c r="K1025" t="s">
        <v>8</v>
      </c>
      <c r="L1025" t="s">
        <v>14</v>
      </c>
      <c r="M1025" t="s">
        <v>11</v>
      </c>
      <c r="N1025" t="s">
        <v>15</v>
      </c>
      <c r="O1025" t="s">
        <v>25</v>
      </c>
      <c r="P1025">
        <v>10</v>
      </c>
      <c r="Q1025" t="s">
        <v>50</v>
      </c>
      <c r="R1025" t="str">
        <f t="shared" si="108"/>
        <v>14_80___09/08/2023_2023_MonMon_OWC_TR_PW_Lys_C_10_Nutri</v>
      </c>
    </row>
    <row r="1026" spans="1:18" x14ac:dyDescent="0.25">
      <c r="A1026">
        <v>14</v>
      </c>
      <c r="B1026">
        <v>81</v>
      </c>
      <c r="E1026" s="1">
        <v>45177</v>
      </c>
      <c r="F1026" s="11">
        <f t="shared" si="107"/>
        <v>45177</v>
      </c>
      <c r="G1026">
        <f t="shared" si="127"/>
        <v>2023</v>
      </c>
      <c r="H1026">
        <f t="shared" si="128"/>
        <v>9</v>
      </c>
      <c r="I1026">
        <f t="shared" si="129"/>
        <v>8</v>
      </c>
      <c r="J1026" t="s">
        <v>10</v>
      </c>
      <c r="K1026" t="s">
        <v>8</v>
      </c>
      <c r="L1026" t="s">
        <v>14</v>
      </c>
      <c r="M1026" t="s">
        <v>11</v>
      </c>
      <c r="N1026" t="s">
        <v>15</v>
      </c>
      <c r="O1026" t="s">
        <v>25</v>
      </c>
      <c r="P1026">
        <v>20</v>
      </c>
      <c r="Q1026" t="s">
        <v>50</v>
      </c>
      <c r="R1026" t="str">
        <f t="shared" si="108"/>
        <v>14_81___09/08/2023_2023_MonMon_OWC_TR_PW_Lys_C_20_Nutri</v>
      </c>
    </row>
    <row r="1027" spans="1:18" x14ac:dyDescent="0.25">
      <c r="A1027">
        <v>14</v>
      </c>
      <c r="B1027">
        <v>82</v>
      </c>
      <c r="E1027" s="1">
        <v>45177</v>
      </c>
      <c r="F1027" s="11">
        <f t="shared" ref="F1027:F1090" si="130">E1027</f>
        <v>45177</v>
      </c>
      <c r="G1027">
        <f t="shared" si="127"/>
        <v>2023</v>
      </c>
      <c r="H1027">
        <f t="shared" si="128"/>
        <v>9</v>
      </c>
      <c r="I1027">
        <f t="shared" si="129"/>
        <v>8</v>
      </c>
      <c r="J1027" t="s">
        <v>10</v>
      </c>
      <c r="K1027" t="s">
        <v>8</v>
      </c>
      <c r="L1027" t="s">
        <v>14</v>
      </c>
      <c r="M1027" t="s">
        <v>11</v>
      </c>
      <c r="N1027" t="s">
        <v>15</v>
      </c>
      <c r="O1027" t="s">
        <v>25</v>
      </c>
      <c r="P1027">
        <v>45</v>
      </c>
      <c r="Q1027" t="s">
        <v>50</v>
      </c>
      <c r="R1027" t="str">
        <f t="shared" ref="R1027:R1090" si="131">CONCATENATE(A1027,"_",B1027,"_", C1027,"_",D1027,"_",TEXT(E1027, "mm/dd/yyyy"),"_",G1027,"_",J1027,"_",K1027,"_",L1027,"_",M1027,"_",N1027,"_",O1027,"_",P1027,"_",Q1027)</f>
        <v>14_82___09/08/2023_2023_MonMon_OWC_TR_PW_Lys_C_45_Nutri</v>
      </c>
    </row>
    <row r="1028" spans="1:18" x14ac:dyDescent="0.25">
      <c r="A1028">
        <v>14</v>
      </c>
      <c r="B1028">
        <v>83</v>
      </c>
      <c r="E1028" s="1">
        <v>45177</v>
      </c>
      <c r="F1028" s="11">
        <f t="shared" si="130"/>
        <v>45177</v>
      </c>
      <c r="G1028">
        <f t="shared" si="127"/>
        <v>2023</v>
      </c>
      <c r="H1028">
        <f t="shared" si="128"/>
        <v>9</v>
      </c>
      <c r="I1028">
        <f t="shared" si="129"/>
        <v>8</v>
      </c>
      <c r="J1028" t="s">
        <v>10</v>
      </c>
      <c r="K1028" t="s">
        <v>8</v>
      </c>
      <c r="L1028" t="s">
        <v>14</v>
      </c>
      <c r="M1028" t="s">
        <v>26</v>
      </c>
      <c r="N1028" t="s">
        <v>18</v>
      </c>
      <c r="O1028">
        <v>1</v>
      </c>
      <c r="Q1028" t="s">
        <v>50</v>
      </c>
      <c r="R1028" t="str">
        <f t="shared" si="131"/>
        <v>14_83___09/08/2023_2023_MonMon_OWC_TR_RZ_Rz_1__Nutri</v>
      </c>
    </row>
    <row r="1029" spans="1:18" x14ac:dyDescent="0.25">
      <c r="A1029">
        <v>14</v>
      </c>
      <c r="B1029">
        <v>84</v>
      </c>
      <c r="E1029" s="1">
        <v>45177</v>
      </c>
      <c r="F1029" s="11">
        <f t="shared" si="130"/>
        <v>45177</v>
      </c>
      <c r="G1029">
        <f t="shared" si="127"/>
        <v>2023</v>
      </c>
      <c r="H1029">
        <f t="shared" si="128"/>
        <v>9</v>
      </c>
      <c r="I1029">
        <f t="shared" si="129"/>
        <v>8</v>
      </c>
      <c r="J1029" t="s">
        <v>10</v>
      </c>
      <c r="K1029" t="s">
        <v>8</v>
      </c>
      <c r="L1029" t="s">
        <v>14</v>
      </c>
      <c r="M1029" t="s">
        <v>26</v>
      </c>
      <c r="N1029" t="s">
        <v>18</v>
      </c>
      <c r="O1029">
        <v>2</v>
      </c>
      <c r="Q1029" t="s">
        <v>50</v>
      </c>
      <c r="R1029" t="str">
        <f t="shared" si="131"/>
        <v>14_84___09/08/2023_2023_MonMon_OWC_TR_RZ_Rz_2__Nutri</v>
      </c>
    </row>
    <row r="1030" spans="1:18" x14ac:dyDescent="0.25">
      <c r="A1030">
        <v>14</v>
      </c>
      <c r="B1030">
        <v>85</v>
      </c>
      <c r="E1030" s="1">
        <v>45177</v>
      </c>
      <c r="F1030" s="11">
        <f t="shared" si="130"/>
        <v>45177</v>
      </c>
      <c r="G1030">
        <f t="shared" si="127"/>
        <v>2023</v>
      </c>
      <c r="H1030">
        <f t="shared" si="128"/>
        <v>9</v>
      </c>
      <c r="I1030">
        <f t="shared" si="129"/>
        <v>8</v>
      </c>
      <c r="J1030" t="s">
        <v>10</v>
      </c>
      <c r="K1030" t="s">
        <v>8</v>
      </c>
      <c r="L1030" t="s">
        <v>14</v>
      </c>
      <c r="M1030" t="s">
        <v>26</v>
      </c>
      <c r="N1030" t="s">
        <v>18</v>
      </c>
      <c r="O1030">
        <v>4</v>
      </c>
      <c r="Q1030" t="s">
        <v>50</v>
      </c>
      <c r="R1030" t="str">
        <f t="shared" si="131"/>
        <v>14_85___09/08/2023_2023_MonMon_OWC_TR_RZ_Rz_4__Nutri</v>
      </c>
    </row>
    <row r="1031" spans="1:18" x14ac:dyDescent="0.25">
      <c r="A1031">
        <v>14</v>
      </c>
      <c r="B1031">
        <v>86</v>
      </c>
      <c r="E1031" s="1">
        <v>45177</v>
      </c>
      <c r="F1031" s="11">
        <f t="shared" si="130"/>
        <v>45177</v>
      </c>
      <c r="G1031">
        <f t="shared" si="127"/>
        <v>2023</v>
      </c>
      <c r="H1031">
        <f t="shared" si="128"/>
        <v>9</v>
      </c>
      <c r="I1031">
        <f t="shared" si="129"/>
        <v>8</v>
      </c>
      <c r="J1031" t="s">
        <v>10</v>
      </c>
      <c r="K1031" t="s">
        <v>8</v>
      </c>
      <c r="L1031" t="s">
        <v>14</v>
      </c>
      <c r="M1031" t="s">
        <v>26</v>
      </c>
      <c r="N1031" t="s">
        <v>18</v>
      </c>
      <c r="O1031">
        <v>6</v>
      </c>
      <c r="Q1031" t="s">
        <v>50</v>
      </c>
      <c r="R1031" t="str">
        <f t="shared" si="131"/>
        <v>14_86___09/08/2023_2023_MonMon_OWC_TR_RZ_Rz_6__Nutri</v>
      </c>
    </row>
    <row r="1032" spans="1:18" x14ac:dyDescent="0.25">
      <c r="A1032">
        <v>14</v>
      </c>
      <c r="B1032">
        <v>87</v>
      </c>
      <c r="E1032" s="1">
        <v>45177</v>
      </c>
      <c r="F1032" s="11">
        <f t="shared" si="130"/>
        <v>45177</v>
      </c>
      <c r="G1032">
        <f t="shared" si="127"/>
        <v>2023</v>
      </c>
      <c r="H1032">
        <f t="shared" si="128"/>
        <v>9</v>
      </c>
      <c r="I1032">
        <f t="shared" si="129"/>
        <v>8</v>
      </c>
      <c r="J1032" t="s">
        <v>10</v>
      </c>
      <c r="K1032" t="s">
        <v>8</v>
      </c>
      <c r="L1032" t="s">
        <v>14</v>
      </c>
      <c r="M1032" t="s">
        <v>26</v>
      </c>
      <c r="N1032" t="s">
        <v>18</v>
      </c>
      <c r="O1032">
        <v>8</v>
      </c>
      <c r="Q1032" t="s">
        <v>50</v>
      </c>
      <c r="R1032" t="str">
        <f t="shared" si="131"/>
        <v>14_87___09/08/2023_2023_MonMon_OWC_TR_RZ_Rz_8__Nutri</v>
      </c>
    </row>
    <row r="1033" spans="1:18" s="6" customFormat="1" x14ac:dyDescent="0.25">
      <c r="A1033" s="6">
        <v>14</v>
      </c>
      <c r="B1033" s="6">
        <v>88</v>
      </c>
      <c r="E1033" s="7">
        <v>45177</v>
      </c>
      <c r="F1033" s="11">
        <f t="shared" si="130"/>
        <v>45177</v>
      </c>
      <c r="G1033" s="6">
        <f t="shared" si="127"/>
        <v>2023</v>
      </c>
      <c r="H1033" s="6">
        <f t="shared" si="128"/>
        <v>9</v>
      </c>
      <c r="I1033" s="6">
        <f t="shared" si="129"/>
        <v>8</v>
      </c>
      <c r="J1033" s="6" t="s">
        <v>10</v>
      </c>
      <c r="K1033" s="6" t="s">
        <v>8</v>
      </c>
      <c r="L1033" s="6" t="s">
        <v>28</v>
      </c>
      <c r="M1033" s="6" t="s">
        <v>28</v>
      </c>
      <c r="N1033" s="6" t="s">
        <v>27</v>
      </c>
      <c r="O1033" s="6" t="s">
        <v>23</v>
      </c>
      <c r="Q1033" s="6" t="s">
        <v>50</v>
      </c>
      <c r="R1033" t="str">
        <f t="shared" si="131"/>
        <v>14_88___09/08/2023_2023_MonMon_OWC_OW_OW_Sip_A__Nutri</v>
      </c>
    </row>
    <row r="1034" spans="1:18" s="6" customFormat="1" x14ac:dyDescent="0.25">
      <c r="A1034" s="6">
        <v>14</v>
      </c>
      <c r="B1034" s="6">
        <v>89</v>
      </c>
      <c r="E1034" s="7">
        <v>45177</v>
      </c>
      <c r="F1034" s="11">
        <f t="shared" si="130"/>
        <v>45177</v>
      </c>
      <c r="G1034" s="6">
        <f t="shared" si="127"/>
        <v>2023</v>
      </c>
      <c r="H1034" s="6">
        <f t="shared" si="128"/>
        <v>9</v>
      </c>
      <c r="I1034" s="6">
        <f t="shared" si="129"/>
        <v>8</v>
      </c>
      <c r="J1034" s="6" t="s">
        <v>10</v>
      </c>
      <c r="K1034" s="6" t="s">
        <v>8</v>
      </c>
      <c r="L1034" s="6" t="s">
        <v>28</v>
      </c>
      <c r="M1034" s="6" t="s">
        <v>28</v>
      </c>
      <c r="N1034" s="6" t="s">
        <v>27</v>
      </c>
      <c r="O1034" s="6" t="s">
        <v>24</v>
      </c>
      <c r="Q1034" s="6" t="s">
        <v>50</v>
      </c>
      <c r="R1034" t="str">
        <f t="shared" si="131"/>
        <v>14_89___09/08/2023_2023_MonMon_OWC_OW_OW_Sip_B__Nutri</v>
      </c>
    </row>
    <row r="1035" spans="1:18" s="6" customFormat="1" x14ac:dyDescent="0.25">
      <c r="A1035" s="6">
        <v>14</v>
      </c>
      <c r="B1035" s="6">
        <v>90</v>
      </c>
      <c r="E1035" s="7">
        <v>45177</v>
      </c>
      <c r="F1035" s="11">
        <f t="shared" si="130"/>
        <v>45177</v>
      </c>
      <c r="G1035" s="6">
        <f t="shared" si="127"/>
        <v>2023</v>
      </c>
      <c r="H1035" s="6">
        <f t="shared" si="128"/>
        <v>9</v>
      </c>
      <c r="I1035" s="6">
        <f t="shared" si="129"/>
        <v>8</v>
      </c>
      <c r="J1035" s="6" t="s">
        <v>10</v>
      </c>
      <c r="K1035" s="6" t="s">
        <v>8</v>
      </c>
      <c r="L1035" s="6" t="s">
        <v>28</v>
      </c>
      <c r="M1035" s="6" t="s">
        <v>28</v>
      </c>
      <c r="N1035" s="6" t="s">
        <v>27</v>
      </c>
      <c r="O1035" s="6" t="s">
        <v>25</v>
      </c>
      <c r="Q1035" s="6" t="s">
        <v>50</v>
      </c>
      <c r="R1035" t="str">
        <f t="shared" si="131"/>
        <v>14_90___09/08/2023_2023_MonMon_OWC_OW_OW_Sip_C__Nutri</v>
      </c>
    </row>
    <row r="1036" spans="1:18" x14ac:dyDescent="0.25">
      <c r="A1036">
        <v>14</v>
      </c>
      <c r="B1036">
        <v>91</v>
      </c>
      <c r="E1036" s="1">
        <v>45177</v>
      </c>
      <c r="F1036" s="11">
        <f t="shared" si="130"/>
        <v>45177</v>
      </c>
      <c r="G1036">
        <f t="shared" si="127"/>
        <v>2023</v>
      </c>
      <c r="H1036">
        <f t="shared" si="128"/>
        <v>9</v>
      </c>
      <c r="I1036">
        <f t="shared" si="129"/>
        <v>8</v>
      </c>
      <c r="J1036" t="s">
        <v>10</v>
      </c>
      <c r="K1036" t="s">
        <v>8</v>
      </c>
      <c r="L1036" t="s">
        <v>9</v>
      </c>
      <c r="M1036" t="s">
        <v>33</v>
      </c>
      <c r="N1036" t="s">
        <v>27</v>
      </c>
      <c r="O1036" t="s">
        <v>23</v>
      </c>
      <c r="Q1036" t="s">
        <v>50</v>
      </c>
      <c r="R1036" t="str">
        <f t="shared" si="131"/>
        <v>14_91___09/08/2023_2023_MonMon_OWC_W_GW_Sip_A__Nutri</v>
      </c>
    </row>
    <row r="1037" spans="1:18" x14ac:dyDescent="0.25">
      <c r="A1037">
        <v>14</v>
      </c>
      <c r="B1037">
        <v>92</v>
      </c>
      <c r="E1037" s="1">
        <v>45177</v>
      </c>
      <c r="F1037" s="11">
        <f t="shared" si="130"/>
        <v>45177</v>
      </c>
      <c r="G1037">
        <f t="shared" si="127"/>
        <v>2023</v>
      </c>
      <c r="H1037">
        <f t="shared" si="128"/>
        <v>9</v>
      </c>
      <c r="I1037">
        <f t="shared" si="129"/>
        <v>8</v>
      </c>
      <c r="J1037" t="s">
        <v>10</v>
      </c>
      <c r="K1037" t="s">
        <v>8</v>
      </c>
      <c r="L1037" t="s">
        <v>9</v>
      </c>
      <c r="M1037" t="s">
        <v>33</v>
      </c>
      <c r="N1037" t="s">
        <v>27</v>
      </c>
      <c r="O1037" t="s">
        <v>24</v>
      </c>
      <c r="Q1037" t="s">
        <v>50</v>
      </c>
      <c r="R1037" t="str">
        <f t="shared" si="131"/>
        <v>14_92___09/08/2023_2023_MonMon_OWC_W_GW_Sip_B__Nutri</v>
      </c>
    </row>
    <row r="1038" spans="1:18" x14ac:dyDescent="0.25">
      <c r="A1038">
        <v>14</v>
      </c>
      <c r="B1038">
        <v>93</v>
      </c>
      <c r="E1038" s="1">
        <v>45177</v>
      </c>
      <c r="F1038" s="11">
        <f t="shared" si="130"/>
        <v>45177</v>
      </c>
      <c r="G1038">
        <f t="shared" si="127"/>
        <v>2023</v>
      </c>
      <c r="H1038">
        <f t="shared" si="128"/>
        <v>9</v>
      </c>
      <c r="I1038">
        <f t="shared" si="129"/>
        <v>8</v>
      </c>
      <c r="J1038" t="s">
        <v>10</v>
      </c>
      <c r="K1038" t="s">
        <v>8</v>
      </c>
      <c r="L1038" t="s">
        <v>9</v>
      </c>
      <c r="M1038" t="s">
        <v>33</v>
      </c>
      <c r="N1038" t="s">
        <v>27</v>
      </c>
      <c r="O1038" t="s">
        <v>25</v>
      </c>
      <c r="Q1038" t="s">
        <v>50</v>
      </c>
      <c r="R1038" t="str">
        <f t="shared" si="131"/>
        <v>14_93___09/08/2023_2023_MonMon_OWC_W_GW_Sip_C__Nutri</v>
      </c>
    </row>
    <row r="1039" spans="1:18" x14ac:dyDescent="0.25">
      <c r="A1039">
        <v>14</v>
      </c>
      <c r="B1039">
        <v>94</v>
      </c>
      <c r="E1039" s="1">
        <v>45177</v>
      </c>
      <c r="F1039" s="11">
        <f t="shared" si="130"/>
        <v>45177</v>
      </c>
      <c r="G1039">
        <f t="shared" si="127"/>
        <v>2023</v>
      </c>
      <c r="H1039">
        <f t="shared" si="128"/>
        <v>9</v>
      </c>
      <c r="I1039">
        <f t="shared" si="129"/>
        <v>8</v>
      </c>
      <c r="J1039" t="s">
        <v>10</v>
      </c>
      <c r="K1039" t="s">
        <v>8</v>
      </c>
      <c r="L1039" t="s">
        <v>14</v>
      </c>
      <c r="M1039" t="s">
        <v>33</v>
      </c>
      <c r="N1039" t="s">
        <v>27</v>
      </c>
      <c r="O1039" t="s">
        <v>23</v>
      </c>
      <c r="Q1039" t="s">
        <v>50</v>
      </c>
      <c r="R1039" t="str">
        <f t="shared" si="131"/>
        <v>14_94___09/08/2023_2023_MonMon_OWC_TR_GW_Sip_A__Nutri</v>
      </c>
    </row>
    <row r="1040" spans="1:18" x14ac:dyDescent="0.25">
      <c r="A1040">
        <v>14</v>
      </c>
      <c r="B1040">
        <v>95</v>
      </c>
      <c r="E1040" s="1">
        <v>45177</v>
      </c>
      <c r="F1040" s="11">
        <f t="shared" si="130"/>
        <v>45177</v>
      </c>
      <c r="G1040">
        <f t="shared" si="127"/>
        <v>2023</v>
      </c>
      <c r="H1040">
        <f t="shared" si="128"/>
        <v>9</v>
      </c>
      <c r="I1040">
        <f t="shared" si="129"/>
        <v>8</v>
      </c>
      <c r="J1040" t="s">
        <v>10</v>
      </c>
      <c r="K1040" t="s">
        <v>8</v>
      </c>
      <c r="L1040" t="s">
        <v>14</v>
      </c>
      <c r="M1040" t="s">
        <v>33</v>
      </c>
      <c r="N1040" t="s">
        <v>27</v>
      </c>
      <c r="O1040" t="s">
        <v>24</v>
      </c>
      <c r="Q1040" t="s">
        <v>50</v>
      </c>
      <c r="R1040" t="str">
        <f t="shared" si="131"/>
        <v>14_95___09/08/2023_2023_MonMon_OWC_TR_GW_Sip_B__Nutri</v>
      </c>
    </row>
    <row r="1041" spans="1:18" x14ac:dyDescent="0.25">
      <c r="A1041">
        <v>14</v>
      </c>
      <c r="B1041">
        <v>96</v>
      </c>
      <c r="E1041" s="1">
        <v>45177</v>
      </c>
      <c r="F1041" s="11">
        <f t="shared" si="130"/>
        <v>45177</v>
      </c>
      <c r="G1041">
        <f t="shared" si="127"/>
        <v>2023</v>
      </c>
      <c r="H1041">
        <f t="shared" si="128"/>
        <v>9</v>
      </c>
      <c r="I1041">
        <f t="shared" si="129"/>
        <v>8</v>
      </c>
      <c r="J1041" t="s">
        <v>10</v>
      </c>
      <c r="K1041" t="s">
        <v>8</v>
      </c>
      <c r="L1041" t="s">
        <v>14</v>
      </c>
      <c r="M1041" t="s">
        <v>33</v>
      </c>
      <c r="N1041" t="s">
        <v>27</v>
      </c>
      <c r="O1041" t="s">
        <v>25</v>
      </c>
      <c r="Q1041" t="s">
        <v>50</v>
      </c>
      <c r="R1041" t="str">
        <f t="shared" si="131"/>
        <v>14_96___09/08/2023_2023_MonMon_OWC_TR_GW_Sip_C__Nutri</v>
      </c>
    </row>
    <row r="1042" spans="1:18" x14ac:dyDescent="0.25">
      <c r="A1042">
        <v>15</v>
      </c>
      <c r="B1042">
        <v>1</v>
      </c>
      <c r="E1042" s="1">
        <v>45197</v>
      </c>
      <c r="F1042" s="11">
        <f t="shared" si="130"/>
        <v>45197</v>
      </c>
      <c r="G1042">
        <f t="shared" ref="G1042:G1043" si="132">YEAR(E1042)</f>
        <v>2023</v>
      </c>
      <c r="H1042">
        <f t="shared" ref="H1042:H1043" si="133">MONTH(E1042)</f>
        <v>9</v>
      </c>
      <c r="I1042">
        <f t="shared" ref="I1042:I1043" si="134">DAY(E1042)</f>
        <v>28</v>
      </c>
      <c r="J1042" t="s">
        <v>10</v>
      </c>
      <c r="K1042" t="s">
        <v>13</v>
      </c>
      <c r="L1042" t="s">
        <v>9</v>
      </c>
      <c r="M1042" t="s">
        <v>11</v>
      </c>
      <c r="N1042" t="s">
        <v>27</v>
      </c>
      <c r="O1042" t="s">
        <v>23</v>
      </c>
      <c r="P1042">
        <v>10</v>
      </c>
      <c r="Q1042" t="s">
        <v>50</v>
      </c>
      <c r="R1042" t="str">
        <f t="shared" si="131"/>
        <v>15_1___09/28/2023_2023_MonMon_PTR_W_PW_Sip_A_10_Nutri</v>
      </c>
    </row>
    <row r="1043" spans="1:18" x14ac:dyDescent="0.25">
      <c r="A1043">
        <v>15</v>
      </c>
      <c r="B1043">
        <v>2</v>
      </c>
      <c r="E1043" s="1">
        <v>45197</v>
      </c>
      <c r="F1043" s="11">
        <f t="shared" si="130"/>
        <v>45197</v>
      </c>
      <c r="G1043">
        <f t="shared" si="132"/>
        <v>2023</v>
      </c>
      <c r="H1043">
        <f t="shared" si="133"/>
        <v>9</v>
      </c>
      <c r="I1043">
        <f t="shared" si="134"/>
        <v>28</v>
      </c>
      <c r="J1043" t="s">
        <v>10</v>
      </c>
      <c r="K1043" t="s">
        <v>13</v>
      </c>
      <c r="L1043" t="s">
        <v>9</v>
      </c>
      <c r="M1043" t="s">
        <v>11</v>
      </c>
      <c r="N1043" t="s">
        <v>27</v>
      </c>
      <c r="O1043" t="s">
        <v>23</v>
      </c>
      <c r="P1043">
        <v>20</v>
      </c>
      <c r="Q1043" t="s">
        <v>50</v>
      </c>
      <c r="R1043" t="str">
        <f t="shared" si="131"/>
        <v>15_2___09/28/2023_2023_MonMon_PTR_W_PW_Sip_A_20_Nutri</v>
      </c>
    </row>
    <row r="1044" spans="1:18" x14ac:dyDescent="0.25">
      <c r="A1044">
        <v>15</v>
      </c>
      <c r="B1044">
        <v>3</v>
      </c>
      <c r="E1044" s="1">
        <v>45197</v>
      </c>
      <c r="F1044" s="11">
        <f t="shared" si="130"/>
        <v>45197</v>
      </c>
      <c r="G1044">
        <f t="shared" ref="G1044:G1055" si="135">YEAR(E1044)</f>
        <v>2023</v>
      </c>
      <c r="H1044">
        <f t="shared" ref="H1044:H1055" si="136">MONTH(E1044)</f>
        <v>9</v>
      </c>
      <c r="I1044">
        <f t="shared" ref="I1044:I1055" si="137">DAY(E1044)</f>
        <v>28</v>
      </c>
      <c r="J1044" t="s">
        <v>10</v>
      </c>
      <c r="K1044" t="s">
        <v>13</v>
      </c>
      <c r="L1044" t="s">
        <v>9</v>
      </c>
      <c r="M1044" t="s">
        <v>11</v>
      </c>
      <c r="N1044" t="s">
        <v>27</v>
      </c>
      <c r="O1044" t="s">
        <v>23</v>
      </c>
      <c r="P1044">
        <v>45</v>
      </c>
      <c r="Q1044" t="s">
        <v>50</v>
      </c>
      <c r="R1044" t="str">
        <f t="shared" si="131"/>
        <v>15_3___09/28/2023_2023_MonMon_PTR_W_PW_Sip_A_45_Nutri</v>
      </c>
    </row>
    <row r="1045" spans="1:18" x14ac:dyDescent="0.25">
      <c r="A1045">
        <v>15</v>
      </c>
      <c r="B1045">
        <v>4</v>
      </c>
      <c r="E1045" s="1">
        <v>45197</v>
      </c>
      <c r="F1045" s="11">
        <f t="shared" si="130"/>
        <v>45197</v>
      </c>
      <c r="G1045">
        <f t="shared" si="135"/>
        <v>2023</v>
      </c>
      <c r="H1045">
        <f t="shared" si="136"/>
        <v>9</v>
      </c>
      <c r="I1045">
        <f t="shared" si="137"/>
        <v>28</v>
      </c>
      <c r="J1045" t="s">
        <v>10</v>
      </c>
      <c r="K1045" t="s">
        <v>13</v>
      </c>
      <c r="L1045" t="s">
        <v>9</v>
      </c>
      <c r="M1045" t="s">
        <v>11</v>
      </c>
      <c r="N1045" t="s">
        <v>27</v>
      </c>
      <c r="O1045" t="s">
        <v>24</v>
      </c>
      <c r="P1045">
        <v>10</v>
      </c>
      <c r="Q1045" t="s">
        <v>50</v>
      </c>
      <c r="R1045" t="str">
        <f t="shared" si="131"/>
        <v>15_4___09/28/2023_2023_MonMon_PTR_W_PW_Sip_B_10_Nutri</v>
      </c>
    </row>
    <row r="1046" spans="1:18" x14ac:dyDescent="0.25">
      <c r="A1046">
        <v>15</v>
      </c>
      <c r="B1046">
        <v>5</v>
      </c>
      <c r="E1046" s="1">
        <v>45197</v>
      </c>
      <c r="F1046" s="11">
        <f t="shared" si="130"/>
        <v>45197</v>
      </c>
      <c r="G1046">
        <f t="shared" si="135"/>
        <v>2023</v>
      </c>
      <c r="H1046">
        <f t="shared" si="136"/>
        <v>9</v>
      </c>
      <c r="I1046">
        <f t="shared" si="137"/>
        <v>28</v>
      </c>
      <c r="J1046" t="s">
        <v>10</v>
      </c>
      <c r="K1046" t="s">
        <v>13</v>
      </c>
      <c r="L1046" t="s">
        <v>9</v>
      </c>
      <c r="M1046" t="s">
        <v>11</v>
      </c>
      <c r="N1046" t="s">
        <v>27</v>
      </c>
      <c r="O1046" t="s">
        <v>24</v>
      </c>
      <c r="P1046">
        <v>20</v>
      </c>
      <c r="Q1046" t="s">
        <v>50</v>
      </c>
      <c r="R1046" t="str">
        <f t="shared" si="131"/>
        <v>15_5___09/28/2023_2023_MonMon_PTR_W_PW_Sip_B_20_Nutri</v>
      </c>
    </row>
    <row r="1047" spans="1:18" x14ac:dyDescent="0.25">
      <c r="A1047">
        <v>15</v>
      </c>
      <c r="B1047">
        <v>6</v>
      </c>
      <c r="E1047" s="1">
        <v>45197</v>
      </c>
      <c r="F1047" s="11">
        <f t="shared" si="130"/>
        <v>45197</v>
      </c>
      <c r="G1047">
        <f t="shared" si="135"/>
        <v>2023</v>
      </c>
      <c r="H1047">
        <f t="shared" si="136"/>
        <v>9</v>
      </c>
      <c r="I1047">
        <f t="shared" si="137"/>
        <v>28</v>
      </c>
      <c r="J1047" t="s">
        <v>10</v>
      </c>
      <c r="K1047" t="s">
        <v>13</v>
      </c>
      <c r="L1047" t="s">
        <v>9</v>
      </c>
      <c r="M1047" t="s">
        <v>11</v>
      </c>
      <c r="N1047" t="s">
        <v>27</v>
      </c>
      <c r="O1047" t="s">
        <v>24</v>
      </c>
      <c r="P1047">
        <v>45</v>
      </c>
      <c r="Q1047" t="s">
        <v>50</v>
      </c>
      <c r="R1047" t="str">
        <f t="shared" si="131"/>
        <v>15_6___09/28/2023_2023_MonMon_PTR_W_PW_Sip_B_45_Nutri</v>
      </c>
    </row>
    <row r="1048" spans="1:18" x14ac:dyDescent="0.25">
      <c r="A1048">
        <v>15</v>
      </c>
      <c r="B1048">
        <v>7</v>
      </c>
      <c r="E1048" s="1">
        <v>45197</v>
      </c>
      <c r="F1048" s="11">
        <f t="shared" si="130"/>
        <v>45197</v>
      </c>
      <c r="G1048">
        <f t="shared" si="135"/>
        <v>2023</v>
      </c>
      <c r="H1048">
        <f t="shared" si="136"/>
        <v>9</v>
      </c>
      <c r="I1048">
        <f t="shared" si="137"/>
        <v>28</v>
      </c>
      <c r="J1048" t="s">
        <v>10</v>
      </c>
      <c r="K1048" t="s">
        <v>13</v>
      </c>
      <c r="L1048" t="s">
        <v>9</v>
      </c>
      <c r="M1048" t="s">
        <v>11</v>
      </c>
      <c r="N1048" t="s">
        <v>27</v>
      </c>
      <c r="O1048" t="s">
        <v>25</v>
      </c>
      <c r="P1048">
        <v>10</v>
      </c>
      <c r="Q1048" t="s">
        <v>50</v>
      </c>
      <c r="R1048" t="str">
        <f t="shared" si="131"/>
        <v>15_7___09/28/2023_2023_MonMon_PTR_W_PW_Sip_C_10_Nutri</v>
      </c>
    </row>
    <row r="1049" spans="1:18" x14ac:dyDescent="0.25">
      <c r="A1049">
        <v>15</v>
      </c>
      <c r="B1049">
        <v>8</v>
      </c>
      <c r="E1049" s="1">
        <v>45197</v>
      </c>
      <c r="F1049" s="11">
        <f t="shared" si="130"/>
        <v>45197</v>
      </c>
      <c r="G1049">
        <f t="shared" si="135"/>
        <v>2023</v>
      </c>
      <c r="H1049">
        <f t="shared" si="136"/>
        <v>9</v>
      </c>
      <c r="I1049">
        <f t="shared" si="137"/>
        <v>28</v>
      </c>
      <c r="J1049" t="s">
        <v>10</v>
      </c>
      <c r="K1049" t="s">
        <v>13</v>
      </c>
      <c r="L1049" t="s">
        <v>9</v>
      </c>
      <c r="M1049" t="s">
        <v>11</v>
      </c>
      <c r="N1049" t="s">
        <v>27</v>
      </c>
      <c r="O1049" t="s">
        <v>25</v>
      </c>
      <c r="P1049">
        <v>20</v>
      </c>
      <c r="Q1049" t="s">
        <v>50</v>
      </c>
      <c r="R1049" t="str">
        <f t="shared" si="131"/>
        <v>15_8___09/28/2023_2023_MonMon_PTR_W_PW_Sip_C_20_Nutri</v>
      </c>
    </row>
    <row r="1050" spans="1:18" x14ac:dyDescent="0.25">
      <c r="A1050">
        <v>15</v>
      </c>
      <c r="B1050">
        <v>9</v>
      </c>
      <c r="E1050" s="1">
        <v>45197</v>
      </c>
      <c r="F1050" s="11">
        <f t="shared" si="130"/>
        <v>45197</v>
      </c>
      <c r="G1050">
        <f t="shared" si="135"/>
        <v>2023</v>
      </c>
      <c r="H1050">
        <f t="shared" si="136"/>
        <v>9</v>
      </c>
      <c r="I1050">
        <f t="shared" si="137"/>
        <v>28</v>
      </c>
      <c r="J1050" t="s">
        <v>10</v>
      </c>
      <c r="K1050" t="s">
        <v>13</v>
      </c>
      <c r="L1050" t="s">
        <v>9</v>
      </c>
      <c r="M1050" t="s">
        <v>11</v>
      </c>
      <c r="N1050" t="s">
        <v>27</v>
      </c>
      <c r="O1050" t="s">
        <v>25</v>
      </c>
      <c r="P1050">
        <v>45</v>
      </c>
      <c r="Q1050" t="s">
        <v>50</v>
      </c>
      <c r="R1050" t="str">
        <f t="shared" si="131"/>
        <v>15_9___09/28/2023_2023_MonMon_PTR_W_PW_Sip_C_45_Nutri</v>
      </c>
    </row>
    <row r="1051" spans="1:18" x14ac:dyDescent="0.25">
      <c r="A1051">
        <v>15</v>
      </c>
      <c r="B1051">
        <v>10</v>
      </c>
      <c r="E1051" s="1">
        <v>45197</v>
      </c>
      <c r="F1051" s="11">
        <f t="shared" si="130"/>
        <v>45197</v>
      </c>
      <c r="G1051">
        <f t="shared" si="135"/>
        <v>2023</v>
      </c>
      <c r="H1051">
        <f t="shared" si="136"/>
        <v>9</v>
      </c>
      <c r="I1051">
        <f t="shared" si="137"/>
        <v>28</v>
      </c>
      <c r="J1051" t="s">
        <v>10</v>
      </c>
      <c r="K1051" t="s">
        <v>13</v>
      </c>
      <c r="L1051" t="s">
        <v>14</v>
      </c>
      <c r="M1051" t="s">
        <v>26</v>
      </c>
      <c r="N1051" t="s">
        <v>18</v>
      </c>
      <c r="O1051">
        <v>4</v>
      </c>
      <c r="Q1051" t="s">
        <v>50</v>
      </c>
      <c r="R1051" t="str">
        <f t="shared" si="131"/>
        <v>15_10___09/28/2023_2023_MonMon_PTR_TR_RZ_Rz_4__Nutri</v>
      </c>
    </row>
    <row r="1052" spans="1:18" x14ac:dyDescent="0.25">
      <c r="A1052">
        <v>15</v>
      </c>
      <c r="B1052">
        <v>11</v>
      </c>
      <c r="E1052" s="1">
        <v>45197</v>
      </c>
      <c r="F1052" s="11">
        <f t="shared" si="130"/>
        <v>45197</v>
      </c>
      <c r="G1052">
        <f t="shared" si="135"/>
        <v>2023</v>
      </c>
      <c r="H1052">
        <f t="shared" si="136"/>
        <v>9</v>
      </c>
      <c r="I1052">
        <f t="shared" si="137"/>
        <v>28</v>
      </c>
      <c r="J1052" t="s">
        <v>10</v>
      </c>
      <c r="K1052" t="s">
        <v>13</v>
      </c>
      <c r="L1052" t="s">
        <v>14</v>
      </c>
      <c r="M1052" t="s">
        <v>26</v>
      </c>
      <c r="N1052" t="s">
        <v>18</v>
      </c>
      <c r="O1052">
        <v>5</v>
      </c>
      <c r="Q1052" t="s">
        <v>50</v>
      </c>
      <c r="R1052" t="str">
        <f t="shared" si="131"/>
        <v>15_11___09/28/2023_2023_MonMon_PTR_TR_RZ_Rz_5__Nutri</v>
      </c>
    </row>
    <row r="1053" spans="1:18" s="6" customFormat="1" x14ac:dyDescent="0.25">
      <c r="A1053" s="6">
        <v>15</v>
      </c>
      <c r="B1053" s="6">
        <v>12</v>
      </c>
      <c r="E1053" s="7">
        <v>45197</v>
      </c>
      <c r="F1053" s="11">
        <f t="shared" si="130"/>
        <v>45197</v>
      </c>
      <c r="G1053" s="6">
        <f t="shared" si="135"/>
        <v>2023</v>
      </c>
      <c r="H1053" s="6">
        <f t="shared" si="136"/>
        <v>9</v>
      </c>
      <c r="I1053" s="6">
        <f t="shared" si="137"/>
        <v>28</v>
      </c>
      <c r="J1053" s="6" t="s">
        <v>10</v>
      </c>
      <c r="K1053" s="6" t="s">
        <v>13</v>
      </c>
      <c r="L1053" s="6" t="s">
        <v>28</v>
      </c>
      <c r="M1053" s="6" t="s">
        <v>28</v>
      </c>
      <c r="N1053" s="6" t="s">
        <v>27</v>
      </c>
      <c r="O1053" s="6" t="s">
        <v>23</v>
      </c>
      <c r="Q1053" s="6" t="s">
        <v>50</v>
      </c>
      <c r="R1053" t="str">
        <f t="shared" si="131"/>
        <v>15_12___09/28/2023_2023_MonMon_PTR_OW_OW_Sip_A__Nutri</v>
      </c>
    </row>
    <row r="1054" spans="1:18" s="6" customFormat="1" x14ac:dyDescent="0.25">
      <c r="A1054" s="6">
        <v>15</v>
      </c>
      <c r="B1054" s="6">
        <v>13</v>
      </c>
      <c r="E1054" s="7">
        <v>45197</v>
      </c>
      <c r="F1054" s="11">
        <f t="shared" si="130"/>
        <v>45197</v>
      </c>
      <c r="G1054" s="6">
        <f t="shared" si="135"/>
        <v>2023</v>
      </c>
      <c r="H1054" s="6">
        <f t="shared" si="136"/>
        <v>9</v>
      </c>
      <c r="I1054" s="6">
        <f t="shared" si="137"/>
        <v>28</v>
      </c>
      <c r="J1054" s="6" t="s">
        <v>10</v>
      </c>
      <c r="K1054" s="6" t="s">
        <v>13</v>
      </c>
      <c r="L1054" s="6" t="s">
        <v>28</v>
      </c>
      <c r="M1054" s="6" t="s">
        <v>28</v>
      </c>
      <c r="N1054" s="6" t="s">
        <v>27</v>
      </c>
      <c r="O1054" s="6" t="s">
        <v>24</v>
      </c>
      <c r="Q1054" s="6" t="s">
        <v>50</v>
      </c>
      <c r="R1054" t="str">
        <f t="shared" si="131"/>
        <v>15_13___09/28/2023_2023_MonMon_PTR_OW_OW_Sip_B__Nutri</v>
      </c>
    </row>
    <row r="1055" spans="1:18" s="6" customFormat="1" x14ac:dyDescent="0.25">
      <c r="A1055" s="6">
        <v>15</v>
      </c>
      <c r="B1055" s="6">
        <v>14</v>
      </c>
      <c r="E1055" s="7">
        <v>45197</v>
      </c>
      <c r="F1055" s="11">
        <f t="shared" si="130"/>
        <v>45197</v>
      </c>
      <c r="G1055" s="6">
        <f t="shared" si="135"/>
        <v>2023</v>
      </c>
      <c r="H1055" s="6">
        <f t="shared" si="136"/>
        <v>9</v>
      </c>
      <c r="I1055" s="6">
        <f t="shared" si="137"/>
        <v>28</v>
      </c>
      <c r="J1055" s="6" t="s">
        <v>10</v>
      </c>
      <c r="K1055" s="6" t="s">
        <v>13</v>
      </c>
      <c r="L1055" s="6" t="s">
        <v>28</v>
      </c>
      <c r="M1055" s="6" t="s">
        <v>28</v>
      </c>
      <c r="N1055" s="6" t="s">
        <v>27</v>
      </c>
      <c r="O1055" s="6" t="s">
        <v>25</v>
      </c>
      <c r="Q1055" s="6" t="s">
        <v>50</v>
      </c>
      <c r="R1055" t="str">
        <f t="shared" si="131"/>
        <v>15_14___09/28/2023_2023_MonMon_PTR_OW_OW_Sip_C__Nutri</v>
      </c>
    </row>
    <row r="1056" spans="1:18" x14ac:dyDescent="0.25">
      <c r="A1056">
        <v>15</v>
      </c>
      <c r="B1056">
        <v>15</v>
      </c>
      <c r="E1056" s="1">
        <v>45205</v>
      </c>
      <c r="F1056" s="11">
        <f t="shared" si="130"/>
        <v>45205</v>
      </c>
      <c r="G1056">
        <f t="shared" ref="G1056:G1057" si="138">YEAR(E1056)</f>
        <v>2023</v>
      </c>
      <c r="H1056">
        <f t="shared" ref="H1056:H1057" si="139">MONTH(E1056)</f>
        <v>10</v>
      </c>
      <c r="I1056">
        <f t="shared" ref="I1056:I1057" si="140">DAY(E1056)</f>
        <v>6</v>
      </c>
      <c r="J1056" t="s">
        <v>10</v>
      </c>
      <c r="K1056" t="s">
        <v>16</v>
      </c>
      <c r="L1056" t="s">
        <v>9</v>
      </c>
      <c r="M1056" t="s">
        <v>11</v>
      </c>
      <c r="N1056" t="s">
        <v>27</v>
      </c>
      <c r="O1056" t="s">
        <v>23</v>
      </c>
      <c r="P1056">
        <v>10</v>
      </c>
      <c r="Q1056" t="s">
        <v>50</v>
      </c>
      <c r="R1056" t="str">
        <f t="shared" si="131"/>
        <v>15_15___10/06/2023_2023_MonMon_CRC_W_PW_Sip_A_10_Nutri</v>
      </c>
    </row>
    <row r="1057" spans="1:18" x14ac:dyDescent="0.25">
      <c r="A1057">
        <v>15</v>
      </c>
      <c r="B1057">
        <v>16</v>
      </c>
      <c r="E1057" s="1">
        <v>45205</v>
      </c>
      <c r="F1057" s="11">
        <f t="shared" si="130"/>
        <v>45205</v>
      </c>
      <c r="G1057">
        <f t="shared" si="138"/>
        <v>2023</v>
      </c>
      <c r="H1057">
        <f t="shared" si="139"/>
        <v>10</v>
      </c>
      <c r="I1057">
        <f t="shared" si="140"/>
        <v>6</v>
      </c>
      <c r="J1057" t="s">
        <v>10</v>
      </c>
      <c r="K1057" t="s">
        <v>16</v>
      </c>
      <c r="L1057" t="s">
        <v>9</v>
      </c>
      <c r="M1057" t="s">
        <v>11</v>
      </c>
      <c r="N1057" t="s">
        <v>27</v>
      </c>
      <c r="O1057" t="s">
        <v>23</v>
      </c>
      <c r="P1057">
        <v>20</v>
      </c>
      <c r="Q1057" t="s">
        <v>50</v>
      </c>
      <c r="R1057" t="str">
        <f t="shared" si="131"/>
        <v>15_16___10/06/2023_2023_MonMon_CRC_W_PW_Sip_A_20_Nutri</v>
      </c>
    </row>
    <row r="1058" spans="1:18" x14ac:dyDescent="0.25">
      <c r="A1058">
        <v>15</v>
      </c>
      <c r="B1058">
        <v>17</v>
      </c>
      <c r="E1058" s="1">
        <v>45205</v>
      </c>
      <c r="F1058" s="11">
        <f t="shared" si="130"/>
        <v>45205</v>
      </c>
      <c r="G1058">
        <f t="shared" ref="G1058:G1081" si="141">YEAR(E1058)</f>
        <v>2023</v>
      </c>
      <c r="H1058">
        <f t="shared" ref="H1058:H1081" si="142">MONTH(E1058)</f>
        <v>10</v>
      </c>
      <c r="I1058">
        <f t="shared" ref="I1058:I1081" si="143">DAY(E1058)</f>
        <v>6</v>
      </c>
      <c r="J1058" t="s">
        <v>10</v>
      </c>
      <c r="K1058" t="s">
        <v>16</v>
      </c>
      <c r="L1058" t="s">
        <v>9</v>
      </c>
      <c r="M1058" t="s">
        <v>11</v>
      </c>
      <c r="N1058" t="s">
        <v>27</v>
      </c>
      <c r="O1058" t="s">
        <v>23</v>
      </c>
      <c r="P1058">
        <v>45</v>
      </c>
      <c r="Q1058" t="s">
        <v>50</v>
      </c>
      <c r="R1058" t="str">
        <f t="shared" si="131"/>
        <v>15_17___10/06/2023_2023_MonMon_CRC_W_PW_Sip_A_45_Nutri</v>
      </c>
    </row>
    <row r="1059" spans="1:18" x14ac:dyDescent="0.25">
      <c r="A1059">
        <v>15</v>
      </c>
      <c r="B1059">
        <v>18</v>
      </c>
      <c r="E1059" s="1">
        <v>45205</v>
      </c>
      <c r="F1059" s="11">
        <f t="shared" si="130"/>
        <v>45205</v>
      </c>
      <c r="G1059">
        <f t="shared" si="141"/>
        <v>2023</v>
      </c>
      <c r="H1059">
        <f t="shared" si="142"/>
        <v>10</v>
      </c>
      <c r="I1059">
        <f t="shared" si="143"/>
        <v>6</v>
      </c>
      <c r="J1059" t="s">
        <v>10</v>
      </c>
      <c r="K1059" t="s">
        <v>16</v>
      </c>
      <c r="L1059" t="s">
        <v>9</v>
      </c>
      <c r="M1059" t="s">
        <v>11</v>
      </c>
      <c r="N1059" t="s">
        <v>27</v>
      </c>
      <c r="O1059" t="s">
        <v>24</v>
      </c>
      <c r="P1059">
        <v>10</v>
      </c>
      <c r="Q1059" t="s">
        <v>50</v>
      </c>
      <c r="R1059" t="str">
        <f t="shared" si="131"/>
        <v>15_18___10/06/2023_2023_MonMon_CRC_W_PW_Sip_B_10_Nutri</v>
      </c>
    </row>
    <row r="1060" spans="1:18" x14ac:dyDescent="0.25">
      <c r="A1060">
        <v>15</v>
      </c>
      <c r="B1060">
        <v>19</v>
      </c>
      <c r="E1060" s="1">
        <v>45205</v>
      </c>
      <c r="F1060" s="11">
        <f t="shared" si="130"/>
        <v>45205</v>
      </c>
      <c r="G1060">
        <f t="shared" si="141"/>
        <v>2023</v>
      </c>
      <c r="H1060">
        <f t="shared" si="142"/>
        <v>10</v>
      </c>
      <c r="I1060">
        <f t="shared" si="143"/>
        <v>6</v>
      </c>
      <c r="J1060" t="s">
        <v>10</v>
      </c>
      <c r="K1060" t="s">
        <v>16</v>
      </c>
      <c r="L1060" t="s">
        <v>9</v>
      </c>
      <c r="M1060" t="s">
        <v>11</v>
      </c>
      <c r="N1060" t="s">
        <v>27</v>
      </c>
      <c r="O1060" t="s">
        <v>24</v>
      </c>
      <c r="P1060">
        <v>20</v>
      </c>
      <c r="Q1060" t="s">
        <v>50</v>
      </c>
      <c r="R1060" t="str">
        <f t="shared" si="131"/>
        <v>15_19___10/06/2023_2023_MonMon_CRC_W_PW_Sip_B_20_Nutri</v>
      </c>
    </row>
    <row r="1061" spans="1:18" x14ac:dyDescent="0.25">
      <c r="A1061">
        <v>15</v>
      </c>
      <c r="B1061">
        <v>20</v>
      </c>
      <c r="E1061" s="1">
        <v>45205</v>
      </c>
      <c r="F1061" s="11">
        <f t="shared" si="130"/>
        <v>45205</v>
      </c>
      <c r="G1061">
        <f t="shared" si="141"/>
        <v>2023</v>
      </c>
      <c r="H1061">
        <f t="shared" si="142"/>
        <v>10</v>
      </c>
      <c r="I1061">
        <f t="shared" si="143"/>
        <v>6</v>
      </c>
      <c r="J1061" t="s">
        <v>10</v>
      </c>
      <c r="K1061" t="s">
        <v>16</v>
      </c>
      <c r="L1061" t="s">
        <v>9</v>
      </c>
      <c r="M1061" t="s">
        <v>11</v>
      </c>
      <c r="N1061" t="s">
        <v>27</v>
      </c>
      <c r="O1061" t="s">
        <v>24</v>
      </c>
      <c r="P1061">
        <v>45</v>
      </c>
      <c r="Q1061" t="s">
        <v>50</v>
      </c>
      <c r="R1061" t="str">
        <f t="shared" si="131"/>
        <v>15_20___10/06/2023_2023_MonMon_CRC_W_PW_Sip_B_45_Nutri</v>
      </c>
    </row>
    <row r="1062" spans="1:18" x14ac:dyDescent="0.25">
      <c r="A1062">
        <v>15</v>
      </c>
      <c r="B1062">
        <v>21</v>
      </c>
      <c r="E1062" s="1">
        <v>45205</v>
      </c>
      <c r="F1062" s="11">
        <f t="shared" si="130"/>
        <v>45205</v>
      </c>
      <c r="G1062">
        <f t="shared" si="141"/>
        <v>2023</v>
      </c>
      <c r="H1062">
        <f t="shared" si="142"/>
        <v>10</v>
      </c>
      <c r="I1062">
        <f t="shared" si="143"/>
        <v>6</v>
      </c>
      <c r="J1062" t="s">
        <v>10</v>
      </c>
      <c r="K1062" t="s">
        <v>16</v>
      </c>
      <c r="L1062" t="s">
        <v>9</v>
      </c>
      <c r="M1062" t="s">
        <v>11</v>
      </c>
      <c r="N1062" t="s">
        <v>27</v>
      </c>
      <c r="O1062" t="s">
        <v>25</v>
      </c>
      <c r="P1062">
        <v>10</v>
      </c>
      <c r="Q1062" t="s">
        <v>50</v>
      </c>
      <c r="R1062" t="str">
        <f t="shared" si="131"/>
        <v>15_21___10/06/2023_2023_MonMon_CRC_W_PW_Sip_C_10_Nutri</v>
      </c>
    </row>
    <row r="1063" spans="1:18" x14ac:dyDescent="0.25">
      <c r="A1063">
        <v>15</v>
      </c>
      <c r="B1063">
        <v>22</v>
      </c>
      <c r="E1063" s="1">
        <v>45205</v>
      </c>
      <c r="F1063" s="11">
        <f t="shared" si="130"/>
        <v>45205</v>
      </c>
      <c r="G1063">
        <f t="shared" si="141"/>
        <v>2023</v>
      </c>
      <c r="H1063">
        <f t="shared" si="142"/>
        <v>10</v>
      </c>
      <c r="I1063">
        <f t="shared" si="143"/>
        <v>6</v>
      </c>
      <c r="J1063" t="s">
        <v>10</v>
      </c>
      <c r="K1063" t="s">
        <v>16</v>
      </c>
      <c r="L1063" t="s">
        <v>9</v>
      </c>
      <c r="M1063" t="s">
        <v>11</v>
      </c>
      <c r="N1063" t="s">
        <v>27</v>
      </c>
      <c r="O1063" t="s">
        <v>25</v>
      </c>
      <c r="P1063">
        <v>20</v>
      </c>
      <c r="Q1063" t="s">
        <v>50</v>
      </c>
      <c r="R1063" t="str">
        <f t="shared" si="131"/>
        <v>15_22___10/06/2023_2023_MonMon_CRC_W_PW_Sip_C_20_Nutri</v>
      </c>
    </row>
    <row r="1064" spans="1:18" x14ac:dyDescent="0.25">
      <c r="A1064">
        <v>15</v>
      </c>
      <c r="B1064">
        <v>23</v>
      </c>
      <c r="E1064" s="1">
        <v>45205</v>
      </c>
      <c r="F1064" s="11">
        <f t="shared" si="130"/>
        <v>45205</v>
      </c>
      <c r="G1064">
        <f t="shared" si="141"/>
        <v>2023</v>
      </c>
      <c r="H1064">
        <f t="shared" si="142"/>
        <v>10</v>
      </c>
      <c r="I1064">
        <f t="shared" si="143"/>
        <v>6</v>
      </c>
      <c r="J1064" t="s">
        <v>10</v>
      </c>
      <c r="K1064" t="s">
        <v>16</v>
      </c>
      <c r="L1064" t="s">
        <v>9</v>
      </c>
      <c r="M1064" t="s">
        <v>11</v>
      </c>
      <c r="N1064" t="s">
        <v>27</v>
      </c>
      <c r="O1064" t="s">
        <v>25</v>
      </c>
      <c r="P1064">
        <v>45</v>
      </c>
      <c r="Q1064" t="s">
        <v>50</v>
      </c>
      <c r="R1064" t="str">
        <f t="shared" si="131"/>
        <v>15_23___10/06/2023_2023_MonMon_CRC_W_PW_Sip_C_45_Nutri</v>
      </c>
    </row>
    <row r="1065" spans="1:18" x14ac:dyDescent="0.25">
      <c r="A1065">
        <v>15</v>
      </c>
      <c r="B1065">
        <v>24</v>
      </c>
      <c r="E1065" s="1">
        <v>45205</v>
      </c>
      <c r="F1065" s="11">
        <f t="shared" si="130"/>
        <v>45205</v>
      </c>
      <c r="G1065">
        <f t="shared" si="141"/>
        <v>2023</v>
      </c>
      <c r="H1065">
        <f t="shared" si="142"/>
        <v>10</v>
      </c>
      <c r="I1065">
        <f t="shared" si="143"/>
        <v>6</v>
      </c>
      <c r="J1065" t="s">
        <v>10</v>
      </c>
      <c r="K1065" t="s">
        <v>16</v>
      </c>
      <c r="L1065" t="s">
        <v>14</v>
      </c>
      <c r="M1065" t="s">
        <v>11</v>
      </c>
      <c r="N1065" t="s">
        <v>15</v>
      </c>
      <c r="O1065" t="s">
        <v>23</v>
      </c>
      <c r="P1065">
        <v>10</v>
      </c>
      <c r="Q1065" t="s">
        <v>50</v>
      </c>
      <c r="R1065" t="str">
        <f t="shared" si="131"/>
        <v>15_24___10/06/2023_2023_MonMon_CRC_TR_PW_Lys_A_10_Nutri</v>
      </c>
    </row>
    <row r="1066" spans="1:18" x14ac:dyDescent="0.25">
      <c r="A1066">
        <v>15</v>
      </c>
      <c r="B1066">
        <v>25</v>
      </c>
      <c r="E1066" s="1">
        <v>45205</v>
      </c>
      <c r="F1066" s="11">
        <f t="shared" si="130"/>
        <v>45205</v>
      </c>
      <c r="G1066">
        <f t="shared" si="141"/>
        <v>2023</v>
      </c>
      <c r="H1066">
        <f t="shared" si="142"/>
        <v>10</v>
      </c>
      <c r="I1066">
        <f t="shared" si="143"/>
        <v>6</v>
      </c>
      <c r="J1066" t="s">
        <v>10</v>
      </c>
      <c r="K1066" t="s">
        <v>16</v>
      </c>
      <c r="L1066" t="s">
        <v>14</v>
      </c>
      <c r="M1066" t="s">
        <v>11</v>
      </c>
      <c r="N1066" t="s">
        <v>15</v>
      </c>
      <c r="O1066" t="s">
        <v>23</v>
      </c>
      <c r="P1066">
        <v>20</v>
      </c>
      <c r="Q1066" t="s">
        <v>50</v>
      </c>
      <c r="R1066" t="str">
        <f t="shared" si="131"/>
        <v>15_25___10/06/2023_2023_MonMon_CRC_TR_PW_Lys_A_20_Nutri</v>
      </c>
    </row>
    <row r="1067" spans="1:18" x14ac:dyDescent="0.25">
      <c r="A1067">
        <v>15</v>
      </c>
      <c r="B1067">
        <v>26</v>
      </c>
      <c r="E1067" s="1">
        <v>45205</v>
      </c>
      <c r="F1067" s="11">
        <f t="shared" si="130"/>
        <v>45205</v>
      </c>
      <c r="G1067">
        <f t="shared" si="141"/>
        <v>2023</v>
      </c>
      <c r="H1067">
        <f t="shared" si="142"/>
        <v>10</v>
      </c>
      <c r="I1067">
        <f t="shared" si="143"/>
        <v>6</v>
      </c>
      <c r="J1067" t="s">
        <v>10</v>
      </c>
      <c r="K1067" t="s">
        <v>16</v>
      </c>
      <c r="L1067" t="s">
        <v>14</v>
      </c>
      <c r="M1067" t="s">
        <v>11</v>
      </c>
      <c r="N1067" t="s">
        <v>15</v>
      </c>
      <c r="O1067" t="s">
        <v>24</v>
      </c>
      <c r="P1067">
        <v>10</v>
      </c>
      <c r="Q1067" t="s">
        <v>50</v>
      </c>
      <c r="R1067" t="str">
        <f t="shared" si="131"/>
        <v>15_26___10/06/2023_2023_MonMon_CRC_TR_PW_Lys_B_10_Nutri</v>
      </c>
    </row>
    <row r="1068" spans="1:18" x14ac:dyDescent="0.25">
      <c r="A1068">
        <v>15</v>
      </c>
      <c r="B1068">
        <v>27</v>
      </c>
      <c r="E1068" s="1">
        <v>45205</v>
      </c>
      <c r="F1068" s="11">
        <f t="shared" si="130"/>
        <v>45205</v>
      </c>
      <c r="G1068">
        <f t="shared" si="141"/>
        <v>2023</v>
      </c>
      <c r="H1068">
        <f t="shared" si="142"/>
        <v>10</v>
      </c>
      <c r="I1068">
        <f t="shared" si="143"/>
        <v>6</v>
      </c>
      <c r="J1068" t="s">
        <v>10</v>
      </c>
      <c r="K1068" t="s">
        <v>16</v>
      </c>
      <c r="L1068" t="s">
        <v>14</v>
      </c>
      <c r="M1068" t="s">
        <v>11</v>
      </c>
      <c r="N1068" t="s">
        <v>15</v>
      </c>
      <c r="O1068" t="s">
        <v>24</v>
      </c>
      <c r="P1068">
        <v>20</v>
      </c>
      <c r="Q1068" t="s">
        <v>50</v>
      </c>
      <c r="R1068" t="str">
        <f t="shared" si="131"/>
        <v>15_27___10/06/2023_2023_MonMon_CRC_TR_PW_Lys_B_20_Nutri</v>
      </c>
    </row>
    <row r="1069" spans="1:18" x14ac:dyDescent="0.25">
      <c r="A1069">
        <v>15</v>
      </c>
      <c r="B1069">
        <v>28</v>
      </c>
      <c r="E1069" s="1">
        <v>45205</v>
      </c>
      <c r="F1069" s="11">
        <f t="shared" si="130"/>
        <v>45205</v>
      </c>
      <c r="G1069">
        <f t="shared" si="141"/>
        <v>2023</v>
      </c>
      <c r="H1069">
        <f t="shared" si="142"/>
        <v>10</v>
      </c>
      <c r="I1069">
        <f t="shared" si="143"/>
        <v>6</v>
      </c>
      <c r="J1069" t="s">
        <v>10</v>
      </c>
      <c r="K1069" t="s">
        <v>16</v>
      </c>
      <c r="L1069" t="s">
        <v>14</v>
      </c>
      <c r="M1069" t="s">
        <v>11</v>
      </c>
      <c r="N1069" t="s">
        <v>15</v>
      </c>
      <c r="O1069" t="s">
        <v>24</v>
      </c>
      <c r="P1069">
        <v>45</v>
      </c>
      <c r="Q1069" t="s">
        <v>50</v>
      </c>
      <c r="R1069" t="str">
        <f t="shared" si="131"/>
        <v>15_28___10/06/2023_2023_MonMon_CRC_TR_PW_Lys_B_45_Nutri</v>
      </c>
    </row>
    <row r="1070" spans="1:18" x14ac:dyDescent="0.25">
      <c r="A1070">
        <v>15</v>
      </c>
      <c r="B1070">
        <v>29</v>
      </c>
      <c r="E1070" s="1">
        <v>45205</v>
      </c>
      <c r="F1070" s="11">
        <f t="shared" si="130"/>
        <v>45205</v>
      </c>
      <c r="G1070">
        <f t="shared" si="141"/>
        <v>2023</v>
      </c>
      <c r="H1070">
        <f t="shared" si="142"/>
        <v>10</v>
      </c>
      <c r="I1070">
        <f t="shared" si="143"/>
        <v>6</v>
      </c>
      <c r="J1070" t="s">
        <v>10</v>
      </c>
      <c r="K1070" t="s">
        <v>16</v>
      </c>
      <c r="L1070" t="s">
        <v>14</v>
      </c>
      <c r="M1070" t="s">
        <v>26</v>
      </c>
      <c r="N1070" t="s">
        <v>18</v>
      </c>
      <c r="O1070">
        <v>4</v>
      </c>
      <c r="Q1070" t="s">
        <v>50</v>
      </c>
      <c r="R1070" t="str">
        <f t="shared" si="131"/>
        <v>15_29___10/06/2023_2023_MonMon_CRC_TR_RZ_Rz_4__Nutri</v>
      </c>
    </row>
    <row r="1071" spans="1:18" x14ac:dyDescent="0.25">
      <c r="A1071">
        <v>15</v>
      </c>
      <c r="B1071">
        <v>30</v>
      </c>
      <c r="E1071" s="1">
        <v>45205</v>
      </c>
      <c r="F1071" s="11">
        <f t="shared" si="130"/>
        <v>45205</v>
      </c>
      <c r="G1071">
        <f t="shared" si="141"/>
        <v>2023</v>
      </c>
      <c r="H1071">
        <f t="shared" si="142"/>
        <v>10</v>
      </c>
      <c r="I1071">
        <f t="shared" si="143"/>
        <v>6</v>
      </c>
      <c r="J1071" t="s">
        <v>10</v>
      </c>
      <c r="K1071" t="s">
        <v>16</v>
      </c>
      <c r="L1071" t="s">
        <v>14</v>
      </c>
      <c r="M1071" t="s">
        <v>26</v>
      </c>
      <c r="N1071" t="s">
        <v>18</v>
      </c>
      <c r="O1071">
        <v>5</v>
      </c>
      <c r="Q1071" t="s">
        <v>50</v>
      </c>
      <c r="R1071" t="str">
        <f t="shared" si="131"/>
        <v>15_30___10/06/2023_2023_MonMon_CRC_TR_RZ_Rz_5__Nutri</v>
      </c>
    </row>
    <row r="1072" spans="1:18" x14ac:dyDescent="0.25">
      <c r="A1072">
        <v>15</v>
      </c>
      <c r="B1072">
        <v>31</v>
      </c>
      <c r="E1072" s="1">
        <v>45205</v>
      </c>
      <c r="F1072" s="11">
        <f t="shared" si="130"/>
        <v>45205</v>
      </c>
      <c r="G1072">
        <f t="shared" si="141"/>
        <v>2023</v>
      </c>
      <c r="H1072">
        <f t="shared" si="142"/>
        <v>10</v>
      </c>
      <c r="I1072">
        <f t="shared" si="143"/>
        <v>6</v>
      </c>
      <c r="J1072" t="s">
        <v>10</v>
      </c>
      <c r="K1072" t="s">
        <v>16</v>
      </c>
      <c r="L1072" t="s">
        <v>14</v>
      </c>
      <c r="M1072" t="s">
        <v>26</v>
      </c>
      <c r="N1072" t="s">
        <v>18</v>
      </c>
      <c r="O1072">
        <v>7</v>
      </c>
      <c r="Q1072" t="s">
        <v>50</v>
      </c>
      <c r="R1072" t="str">
        <f t="shared" si="131"/>
        <v>15_31___10/06/2023_2023_MonMon_CRC_TR_RZ_Rz_7__Nutri</v>
      </c>
    </row>
    <row r="1073" spans="1:18" s="6" customFormat="1" x14ac:dyDescent="0.25">
      <c r="A1073" s="6">
        <v>15</v>
      </c>
      <c r="B1073" s="6">
        <v>32</v>
      </c>
      <c r="E1073" s="7">
        <v>45205</v>
      </c>
      <c r="F1073" s="11">
        <f t="shared" si="130"/>
        <v>45205</v>
      </c>
      <c r="G1073" s="6">
        <f t="shared" si="141"/>
        <v>2023</v>
      </c>
      <c r="H1073" s="6">
        <f t="shared" si="142"/>
        <v>10</v>
      </c>
      <c r="I1073" s="6">
        <f t="shared" si="143"/>
        <v>6</v>
      </c>
      <c r="J1073" s="6" t="s">
        <v>10</v>
      </c>
      <c r="K1073" s="6" t="s">
        <v>16</v>
      </c>
      <c r="L1073" s="6" t="s">
        <v>28</v>
      </c>
      <c r="M1073" s="6" t="s">
        <v>28</v>
      </c>
      <c r="N1073" s="6" t="s">
        <v>27</v>
      </c>
      <c r="O1073" s="6" t="s">
        <v>23</v>
      </c>
      <c r="Q1073" s="6" t="s">
        <v>50</v>
      </c>
      <c r="R1073" t="str">
        <f t="shared" si="131"/>
        <v>15_32___10/06/2023_2023_MonMon_CRC_OW_OW_Sip_A__Nutri</v>
      </c>
    </row>
    <row r="1074" spans="1:18" s="6" customFormat="1" x14ac:dyDescent="0.25">
      <c r="A1074" s="6">
        <v>15</v>
      </c>
      <c r="B1074" s="6">
        <v>33</v>
      </c>
      <c r="E1074" s="7">
        <v>45205</v>
      </c>
      <c r="F1074" s="11">
        <f t="shared" si="130"/>
        <v>45205</v>
      </c>
      <c r="G1074" s="6">
        <f t="shared" si="141"/>
        <v>2023</v>
      </c>
      <c r="H1074" s="6">
        <f t="shared" si="142"/>
        <v>10</v>
      </c>
      <c r="I1074" s="6">
        <f t="shared" si="143"/>
        <v>6</v>
      </c>
      <c r="J1074" s="6" t="s">
        <v>10</v>
      </c>
      <c r="K1074" s="6" t="s">
        <v>16</v>
      </c>
      <c r="L1074" s="6" t="s">
        <v>28</v>
      </c>
      <c r="M1074" s="6" t="s">
        <v>28</v>
      </c>
      <c r="N1074" s="6" t="s">
        <v>27</v>
      </c>
      <c r="O1074" s="6" t="s">
        <v>24</v>
      </c>
      <c r="Q1074" s="6" t="s">
        <v>50</v>
      </c>
      <c r="R1074" t="str">
        <f t="shared" si="131"/>
        <v>15_33___10/06/2023_2023_MonMon_CRC_OW_OW_Sip_B__Nutri</v>
      </c>
    </row>
    <row r="1075" spans="1:18" s="6" customFormat="1" x14ac:dyDescent="0.25">
      <c r="A1075" s="6">
        <v>15</v>
      </c>
      <c r="B1075" s="6">
        <v>34</v>
      </c>
      <c r="E1075" s="7">
        <v>45205</v>
      </c>
      <c r="F1075" s="11">
        <f t="shared" si="130"/>
        <v>45205</v>
      </c>
      <c r="G1075" s="6">
        <f t="shared" si="141"/>
        <v>2023</v>
      </c>
      <c r="H1075" s="6">
        <f t="shared" si="142"/>
        <v>10</v>
      </c>
      <c r="I1075" s="6">
        <f t="shared" si="143"/>
        <v>6</v>
      </c>
      <c r="J1075" s="6" t="s">
        <v>10</v>
      </c>
      <c r="K1075" s="6" t="s">
        <v>16</v>
      </c>
      <c r="L1075" s="6" t="s">
        <v>28</v>
      </c>
      <c r="M1075" s="6" t="s">
        <v>28</v>
      </c>
      <c r="N1075" s="6" t="s">
        <v>27</v>
      </c>
      <c r="O1075" s="6" t="s">
        <v>25</v>
      </c>
      <c r="Q1075" s="6" t="s">
        <v>50</v>
      </c>
      <c r="R1075" t="str">
        <f t="shared" si="131"/>
        <v>15_34___10/06/2023_2023_MonMon_CRC_OW_OW_Sip_C__Nutri</v>
      </c>
    </row>
    <row r="1076" spans="1:18" x14ac:dyDescent="0.25">
      <c r="A1076">
        <v>15</v>
      </c>
      <c r="B1076">
        <v>35</v>
      </c>
      <c r="E1076" s="1">
        <v>45205</v>
      </c>
      <c r="F1076" s="11">
        <f t="shared" si="130"/>
        <v>45205</v>
      </c>
      <c r="G1076">
        <f t="shared" si="141"/>
        <v>2023</v>
      </c>
      <c r="H1076">
        <f t="shared" si="142"/>
        <v>10</v>
      </c>
      <c r="I1076">
        <f t="shared" si="143"/>
        <v>6</v>
      </c>
      <c r="J1076" t="s">
        <v>10</v>
      </c>
      <c r="K1076" t="s">
        <v>16</v>
      </c>
      <c r="L1076" t="s">
        <v>9</v>
      </c>
      <c r="M1076" t="s">
        <v>33</v>
      </c>
      <c r="N1076" t="s">
        <v>27</v>
      </c>
      <c r="O1076" t="s">
        <v>23</v>
      </c>
      <c r="Q1076" t="s">
        <v>50</v>
      </c>
      <c r="R1076" t="str">
        <f t="shared" si="131"/>
        <v>15_35___10/06/2023_2023_MonMon_CRC_W_GW_Sip_A__Nutri</v>
      </c>
    </row>
    <row r="1077" spans="1:18" x14ac:dyDescent="0.25">
      <c r="A1077">
        <v>15</v>
      </c>
      <c r="B1077">
        <v>36</v>
      </c>
      <c r="E1077" s="1">
        <v>45205</v>
      </c>
      <c r="F1077" s="11">
        <f t="shared" si="130"/>
        <v>45205</v>
      </c>
      <c r="G1077">
        <f t="shared" si="141"/>
        <v>2023</v>
      </c>
      <c r="H1077">
        <f t="shared" si="142"/>
        <v>10</v>
      </c>
      <c r="I1077">
        <f t="shared" si="143"/>
        <v>6</v>
      </c>
      <c r="J1077" t="s">
        <v>10</v>
      </c>
      <c r="K1077" t="s">
        <v>16</v>
      </c>
      <c r="L1077" t="s">
        <v>9</v>
      </c>
      <c r="M1077" t="s">
        <v>33</v>
      </c>
      <c r="N1077" t="s">
        <v>27</v>
      </c>
      <c r="O1077" t="s">
        <v>24</v>
      </c>
      <c r="Q1077" t="s">
        <v>50</v>
      </c>
      <c r="R1077" t="str">
        <f t="shared" si="131"/>
        <v>15_36___10/06/2023_2023_MonMon_CRC_W_GW_Sip_B__Nutri</v>
      </c>
    </row>
    <row r="1078" spans="1:18" x14ac:dyDescent="0.25">
      <c r="A1078">
        <v>15</v>
      </c>
      <c r="B1078">
        <v>37</v>
      </c>
      <c r="E1078" s="1">
        <v>45205</v>
      </c>
      <c r="F1078" s="11">
        <f t="shared" si="130"/>
        <v>45205</v>
      </c>
      <c r="G1078">
        <f t="shared" si="141"/>
        <v>2023</v>
      </c>
      <c r="H1078">
        <f t="shared" si="142"/>
        <v>10</v>
      </c>
      <c r="I1078">
        <f t="shared" si="143"/>
        <v>6</v>
      </c>
      <c r="J1078" t="s">
        <v>10</v>
      </c>
      <c r="K1078" t="s">
        <v>16</v>
      </c>
      <c r="L1078" t="s">
        <v>9</v>
      </c>
      <c r="M1078" t="s">
        <v>33</v>
      </c>
      <c r="N1078" t="s">
        <v>27</v>
      </c>
      <c r="O1078" t="s">
        <v>25</v>
      </c>
      <c r="Q1078" t="s">
        <v>50</v>
      </c>
      <c r="R1078" t="str">
        <f t="shared" si="131"/>
        <v>15_37___10/06/2023_2023_MonMon_CRC_W_GW_Sip_C__Nutri</v>
      </c>
    </row>
    <row r="1079" spans="1:18" x14ac:dyDescent="0.25">
      <c r="A1079">
        <v>15</v>
      </c>
      <c r="B1079">
        <v>38</v>
      </c>
      <c r="E1079" s="1">
        <v>45205</v>
      </c>
      <c r="F1079" s="11">
        <f t="shared" si="130"/>
        <v>45205</v>
      </c>
      <c r="G1079">
        <f t="shared" si="141"/>
        <v>2023</v>
      </c>
      <c r="H1079">
        <f t="shared" si="142"/>
        <v>10</v>
      </c>
      <c r="I1079">
        <f t="shared" si="143"/>
        <v>6</v>
      </c>
      <c r="J1079" t="s">
        <v>10</v>
      </c>
      <c r="K1079" t="s">
        <v>16</v>
      </c>
      <c r="L1079" t="s">
        <v>17</v>
      </c>
      <c r="M1079" t="s">
        <v>33</v>
      </c>
      <c r="N1079" t="s">
        <v>27</v>
      </c>
      <c r="O1079" t="s">
        <v>23</v>
      </c>
      <c r="Q1079" t="s">
        <v>50</v>
      </c>
      <c r="R1079" t="str">
        <f t="shared" si="131"/>
        <v>15_38___10/06/2023_2023_MonMon_CRC_UP_GW_Sip_A__Nutri</v>
      </c>
    </row>
    <row r="1080" spans="1:18" x14ac:dyDescent="0.25">
      <c r="A1080">
        <v>15</v>
      </c>
      <c r="B1080">
        <v>39</v>
      </c>
      <c r="E1080" s="1">
        <v>45205</v>
      </c>
      <c r="F1080" s="11">
        <f t="shared" si="130"/>
        <v>45205</v>
      </c>
      <c r="G1080">
        <f t="shared" si="141"/>
        <v>2023</v>
      </c>
      <c r="H1080">
        <f t="shared" si="142"/>
        <v>10</v>
      </c>
      <c r="I1080">
        <f t="shared" si="143"/>
        <v>6</v>
      </c>
      <c r="J1080" t="s">
        <v>10</v>
      </c>
      <c r="K1080" t="s">
        <v>16</v>
      </c>
      <c r="L1080" t="s">
        <v>17</v>
      </c>
      <c r="M1080" t="s">
        <v>33</v>
      </c>
      <c r="N1080" t="s">
        <v>27</v>
      </c>
      <c r="O1080" t="s">
        <v>24</v>
      </c>
      <c r="Q1080" t="s">
        <v>50</v>
      </c>
      <c r="R1080" t="str">
        <f t="shared" si="131"/>
        <v>15_39___10/06/2023_2023_MonMon_CRC_UP_GW_Sip_B__Nutri</v>
      </c>
    </row>
    <row r="1081" spans="1:18" x14ac:dyDescent="0.25">
      <c r="A1081">
        <v>15</v>
      </c>
      <c r="B1081">
        <v>40</v>
      </c>
      <c r="E1081" s="1">
        <v>45205</v>
      </c>
      <c r="F1081" s="11">
        <f t="shared" si="130"/>
        <v>45205</v>
      </c>
      <c r="G1081">
        <f t="shared" si="141"/>
        <v>2023</v>
      </c>
      <c r="H1081">
        <f t="shared" si="142"/>
        <v>10</v>
      </c>
      <c r="I1081">
        <f t="shared" si="143"/>
        <v>6</v>
      </c>
      <c r="J1081" t="s">
        <v>10</v>
      </c>
      <c r="K1081" t="s">
        <v>16</v>
      </c>
      <c r="L1081" t="s">
        <v>17</v>
      </c>
      <c r="M1081" t="s">
        <v>33</v>
      </c>
      <c r="N1081" t="s">
        <v>27</v>
      </c>
      <c r="O1081" t="s">
        <v>25</v>
      </c>
      <c r="Q1081" t="s">
        <v>50</v>
      </c>
      <c r="R1081" t="str">
        <f t="shared" si="131"/>
        <v>15_40___10/06/2023_2023_MonMon_CRC_UP_GW_Sip_C__Nutri</v>
      </c>
    </row>
    <row r="1082" spans="1:18" x14ac:dyDescent="0.25">
      <c r="A1082">
        <v>15</v>
      </c>
      <c r="B1082">
        <v>41</v>
      </c>
      <c r="E1082" s="1">
        <v>45210</v>
      </c>
      <c r="F1082" s="11">
        <f t="shared" si="130"/>
        <v>45210</v>
      </c>
      <c r="G1082">
        <f t="shared" ref="G1082:G1083" si="144">YEAR(E1082)</f>
        <v>2023</v>
      </c>
      <c r="H1082">
        <f t="shared" ref="H1082:H1083" si="145">MONTH(E1082)</f>
        <v>10</v>
      </c>
      <c r="I1082">
        <f t="shared" ref="I1082:I1083" si="146">DAY(E1082)</f>
        <v>11</v>
      </c>
      <c r="J1082" t="s">
        <v>10</v>
      </c>
      <c r="K1082" t="s">
        <v>13</v>
      </c>
      <c r="L1082" t="s">
        <v>9</v>
      </c>
      <c r="M1082" t="s">
        <v>11</v>
      </c>
      <c r="N1082" t="s">
        <v>27</v>
      </c>
      <c r="O1082" t="s">
        <v>23</v>
      </c>
      <c r="P1082">
        <v>45</v>
      </c>
      <c r="Q1082" t="s">
        <v>50</v>
      </c>
      <c r="R1082" t="str">
        <f t="shared" si="131"/>
        <v>15_41___10/11/2023_2023_MonMon_PTR_W_PW_Sip_A_45_Nutri</v>
      </c>
    </row>
    <row r="1083" spans="1:18" x14ac:dyDescent="0.25">
      <c r="A1083">
        <v>15</v>
      </c>
      <c r="B1083">
        <v>42</v>
      </c>
      <c r="E1083" s="1">
        <v>45210</v>
      </c>
      <c r="F1083" s="11">
        <f t="shared" si="130"/>
        <v>45210</v>
      </c>
      <c r="G1083">
        <f t="shared" si="144"/>
        <v>2023</v>
      </c>
      <c r="H1083">
        <f t="shared" si="145"/>
        <v>10</v>
      </c>
      <c r="I1083">
        <f t="shared" si="146"/>
        <v>11</v>
      </c>
      <c r="J1083" t="s">
        <v>10</v>
      </c>
      <c r="K1083" t="s">
        <v>13</v>
      </c>
      <c r="L1083" t="s">
        <v>9</v>
      </c>
      <c r="M1083" t="s">
        <v>11</v>
      </c>
      <c r="N1083" t="s">
        <v>27</v>
      </c>
      <c r="O1083" t="s">
        <v>25</v>
      </c>
      <c r="P1083">
        <v>45</v>
      </c>
      <c r="Q1083" t="s">
        <v>50</v>
      </c>
      <c r="R1083" t="str">
        <f t="shared" si="131"/>
        <v>15_42___10/11/2023_2023_MonMon_PTR_W_PW_Sip_C_45_Nutri</v>
      </c>
    </row>
    <row r="1084" spans="1:18" x14ac:dyDescent="0.25">
      <c r="A1084">
        <v>15</v>
      </c>
      <c r="B1084">
        <v>43</v>
      </c>
      <c r="E1084" s="1">
        <v>45219</v>
      </c>
      <c r="F1084" s="11">
        <f t="shared" si="130"/>
        <v>45219</v>
      </c>
      <c r="G1084">
        <f t="shared" ref="G1084:G1085" si="147">YEAR(E1084)</f>
        <v>2023</v>
      </c>
      <c r="H1084">
        <f t="shared" ref="H1084:H1085" si="148">MONTH(E1084)</f>
        <v>10</v>
      </c>
      <c r="I1084">
        <f t="shared" ref="I1084:I1085" si="149">DAY(E1084)</f>
        <v>20</v>
      </c>
      <c r="J1084" t="s">
        <v>10</v>
      </c>
      <c r="K1084" t="s">
        <v>8</v>
      </c>
      <c r="L1084" t="s">
        <v>9</v>
      </c>
      <c r="M1084" t="s">
        <v>11</v>
      </c>
      <c r="N1084" t="s">
        <v>27</v>
      </c>
      <c r="O1084" t="s">
        <v>23</v>
      </c>
      <c r="P1084">
        <v>20</v>
      </c>
      <c r="Q1084" t="s">
        <v>50</v>
      </c>
      <c r="R1084" t="str">
        <f t="shared" si="131"/>
        <v>15_43___10/20/2023_2023_MonMon_OWC_W_PW_Sip_A_20_Nutri</v>
      </c>
    </row>
    <row r="1085" spans="1:18" x14ac:dyDescent="0.25">
      <c r="A1085">
        <v>15</v>
      </c>
      <c r="B1085">
        <v>44</v>
      </c>
      <c r="E1085" s="1">
        <v>45219</v>
      </c>
      <c r="F1085" s="11">
        <f t="shared" si="130"/>
        <v>45219</v>
      </c>
      <c r="G1085">
        <f t="shared" si="147"/>
        <v>2023</v>
      </c>
      <c r="H1085">
        <f t="shared" si="148"/>
        <v>10</v>
      </c>
      <c r="I1085">
        <f t="shared" si="149"/>
        <v>20</v>
      </c>
      <c r="J1085" t="s">
        <v>10</v>
      </c>
      <c r="K1085" t="s">
        <v>8</v>
      </c>
      <c r="L1085" t="s">
        <v>9</v>
      </c>
      <c r="M1085" t="s">
        <v>11</v>
      </c>
      <c r="N1085" t="s">
        <v>27</v>
      </c>
      <c r="O1085" t="s">
        <v>23</v>
      </c>
      <c r="P1085">
        <v>45</v>
      </c>
      <c r="Q1085" t="s">
        <v>50</v>
      </c>
      <c r="R1085" t="str">
        <f t="shared" si="131"/>
        <v>15_44___10/20/2023_2023_MonMon_OWC_W_PW_Sip_A_45_Nutri</v>
      </c>
    </row>
    <row r="1086" spans="1:18" x14ac:dyDescent="0.25">
      <c r="A1086">
        <v>15</v>
      </c>
      <c r="B1086">
        <v>45</v>
      </c>
      <c r="E1086" s="1">
        <v>45219</v>
      </c>
      <c r="F1086" s="11">
        <f t="shared" si="130"/>
        <v>45219</v>
      </c>
      <c r="G1086">
        <f t="shared" ref="G1086:G1113" si="150">YEAR(E1086)</f>
        <v>2023</v>
      </c>
      <c r="H1086">
        <f t="shared" ref="H1086:H1113" si="151">MONTH(E1086)</f>
        <v>10</v>
      </c>
      <c r="I1086">
        <f t="shared" ref="I1086:I1113" si="152">DAY(E1086)</f>
        <v>20</v>
      </c>
      <c r="J1086" t="s">
        <v>10</v>
      </c>
      <c r="K1086" t="s">
        <v>8</v>
      </c>
      <c r="L1086" t="s">
        <v>9</v>
      </c>
      <c r="M1086" t="s">
        <v>11</v>
      </c>
      <c r="N1086" t="s">
        <v>27</v>
      </c>
      <c r="O1086" t="s">
        <v>24</v>
      </c>
      <c r="P1086">
        <v>20</v>
      </c>
      <c r="Q1086" t="s">
        <v>50</v>
      </c>
      <c r="R1086" t="str">
        <f t="shared" si="131"/>
        <v>15_45___10/20/2023_2023_MonMon_OWC_W_PW_Sip_B_20_Nutri</v>
      </c>
    </row>
    <row r="1087" spans="1:18" x14ac:dyDescent="0.25">
      <c r="A1087">
        <v>15</v>
      </c>
      <c r="B1087">
        <v>46</v>
      </c>
      <c r="E1087" s="1">
        <v>45219</v>
      </c>
      <c r="F1087" s="11">
        <f t="shared" si="130"/>
        <v>45219</v>
      </c>
      <c r="G1087">
        <f t="shared" si="150"/>
        <v>2023</v>
      </c>
      <c r="H1087">
        <f t="shared" si="151"/>
        <v>10</v>
      </c>
      <c r="I1087">
        <f t="shared" si="152"/>
        <v>20</v>
      </c>
      <c r="J1087" t="s">
        <v>10</v>
      </c>
      <c r="K1087" t="s">
        <v>8</v>
      </c>
      <c r="L1087" t="s">
        <v>9</v>
      </c>
      <c r="M1087" t="s">
        <v>11</v>
      </c>
      <c r="N1087" t="s">
        <v>27</v>
      </c>
      <c r="O1087" t="s">
        <v>24</v>
      </c>
      <c r="P1087">
        <v>45</v>
      </c>
      <c r="Q1087" t="s">
        <v>50</v>
      </c>
      <c r="R1087" t="str">
        <f t="shared" si="131"/>
        <v>15_46___10/20/2023_2023_MonMon_OWC_W_PW_Sip_B_45_Nutri</v>
      </c>
    </row>
    <row r="1088" spans="1:18" x14ac:dyDescent="0.25">
      <c r="A1088">
        <v>15</v>
      </c>
      <c r="B1088">
        <v>47</v>
      </c>
      <c r="E1088" s="1">
        <v>45219</v>
      </c>
      <c r="F1088" s="11">
        <f t="shared" si="130"/>
        <v>45219</v>
      </c>
      <c r="G1088">
        <f t="shared" si="150"/>
        <v>2023</v>
      </c>
      <c r="H1088">
        <f t="shared" si="151"/>
        <v>10</v>
      </c>
      <c r="I1088">
        <f t="shared" si="152"/>
        <v>20</v>
      </c>
      <c r="J1088" t="s">
        <v>10</v>
      </c>
      <c r="K1088" t="s">
        <v>8</v>
      </c>
      <c r="L1088" t="s">
        <v>9</v>
      </c>
      <c r="M1088" t="s">
        <v>11</v>
      </c>
      <c r="N1088" t="s">
        <v>27</v>
      </c>
      <c r="O1088" t="s">
        <v>25</v>
      </c>
      <c r="P1088">
        <v>10</v>
      </c>
      <c r="Q1088" t="s">
        <v>50</v>
      </c>
      <c r="R1088" t="str">
        <f t="shared" si="131"/>
        <v>15_47___10/20/2023_2023_MonMon_OWC_W_PW_Sip_C_10_Nutri</v>
      </c>
    </row>
    <row r="1089" spans="1:18" x14ac:dyDescent="0.25">
      <c r="A1089">
        <v>15</v>
      </c>
      <c r="B1089">
        <v>48</v>
      </c>
      <c r="E1089" s="1">
        <v>45219</v>
      </c>
      <c r="F1089" s="11">
        <f t="shared" si="130"/>
        <v>45219</v>
      </c>
      <c r="G1089">
        <f t="shared" si="150"/>
        <v>2023</v>
      </c>
      <c r="H1089">
        <f t="shared" si="151"/>
        <v>10</v>
      </c>
      <c r="I1089">
        <f t="shared" si="152"/>
        <v>20</v>
      </c>
      <c r="J1089" t="s">
        <v>10</v>
      </c>
      <c r="K1089" t="s">
        <v>8</v>
      </c>
      <c r="L1089" t="s">
        <v>9</v>
      </c>
      <c r="M1089" t="s">
        <v>11</v>
      </c>
      <c r="N1089" t="s">
        <v>27</v>
      </c>
      <c r="O1089" t="s">
        <v>25</v>
      </c>
      <c r="P1089">
        <v>20</v>
      </c>
      <c r="Q1089" t="s">
        <v>50</v>
      </c>
      <c r="R1089" t="str">
        <f t="shared" si="131"/>
        <v>15_48___10/20/2023_2023_MonMon_OWC_W_PW_Sip_C_20_Nutri</v>
      </c>
    </row>
    <row r="1090" spans="1:18" x14ac:dyDescent="0.25">
      <c r="A1090">
        <v>15</v>
      </c>
      <c r="B1090">
        <v>49</v>
      </c>
      <c r="E1090" s="1">
        <v>45219</v>
      </c>
      <c r="F1090" s="11">
        <f t="shared" si="130"/>
        <v>45219</v>
      </c>
      <c r="G1090">
        <f t="shared" si="150"/>
        <v>2023</v>
      </c>
      <c r="H1090">
        <f t="shared" si="151"/>
        <v>10</v>
      </c>
      <c r="I1090">
        <f t="shared" si="152"/>
        <v>20</v>
      </c>
      <c r="J1090" t="s">
        <v>10</v>
      </c>
      <c r="K1090" t="s">
        <v>8</v>
      </c>
      <c r="L1090" t="s">
        <v>9</v>
      </c>
      <c r="M1090" t="s">
        <v>11</v>
      </c>
      <c r="N1090" t="s">
        <v>27</v>
      </c>
      <c r="O1090" t="s">
        <v>25</v>
      </c>
      <c r="P1090">
        <v>45</v>
      </c>
      <c r="Q1090" t="s">
        <v>50</v>
      </c>
      <c r="R1090" t="str">
        <f t="shared" si="131"/>
        <v>15_49___10/20/2023_2023_MonMon_OWC_W_PW_Sip_C_45_Nutri</v>
      </c>
    </row>
    <row r="1091" spans="1:18" x14ac:dyDescent="0.25">
      <c r="A1091">
        <v>15</v>
      </c>
      <c r="B1091">
        <v>50</v>
      </c>
      <c r="E1091" s="1">
        <v>45219</v>
      </c>
      <c r="F1091" s="11">
        <f t="shared" ref="F1091:F1154" si="153">E1091</f>
        <v>45219</v>
      </c>
      <c r="G1091">
        <f t="shared" si="150"/>
        <v>2023</v>
      </c>
      <c r="H1091">
        <f t="shared" si="151"/>
        <v>10</v>
      </c>
      <c r="I1091">
        <f t="shared" si="152"/>
        <v>20</v>
      </c>
      <c r="J1091" t="s">
        <v>10</v>
      </c>
      <c r="K1091" t="s">
        <v>8</v>
      </c>
      <c r="L1091" t="s">
        <v>14</v>
      </c>
      <c r="M1091" t="s">
        <v>11</v>
      </c>
      <c r="N1091" t="s">
        <v>15</v>
      </c>
      <c r="O1091" t="s">
        <v>23</v>
      </c>
      <c r="P1091">
        <v>10</v>
      </c>
      <c r="Q1091" t="s">
        <v>50</v>
      </c>
      <c r="R1091" t="str">
        <f t="shared" ref="R1091:R1154" si="154">CONCATENATE(A1091,"_",B1091,"_", C1091,"_",D1091,"_",TEXT(E1091, "mm/dd/yyyy"),"_",G1091,"_",J1091,"_",K1091,"_",L1091,"_",M1091,"_",N1091,"_",O1091,"_",P1091,"_",Q1091)</f>
        <v>15_50___10/20/2023_2023_MonMon_OWC_TR_PW_Lys_A_10_Nutri</v>
      </c>
    </row>
    <row r="1092" spans="1:18" x14ac:dyDescent="0.25">
      <c r="A1092">
        <v>15</v>
      </c>
      <c r="B1092">
        <v>51</v>
      </c>
      <c r="E1092" s="1">
        <v>45219</v>
      </c>
      <c r="F1092" s="11">
        <f t="shared" si="153"/>
        <v>45219</v>
      </c>
      <c r="G1092">
        <f t="shared" si="150"/>
        <v>2023</v>
      </c>
      <c r="H1092">
        <f t="shared" si="151"/>
        <v>10</v>
      </c>
      <c r="I1092">
        <f t="shared" si="152"/>
        <v>20</v>
      </c>
      <c r="J1092" t="s">
        <v>10</v>
      </c>
      <c r="K1092" t="s">
        <v>8</v>
      </c>
      <c r="L1092" t="s">
        <v>14</v>
      </c>
      <c r="M1092" t="s">
        <v>11</v>
      </c>
      <c r="N1092" t="s">
        <v>15</v>
      </c>
      <c r="O1092" t="s">
        <v>23</v>
      </c>
      <c r="P1092">
        <v>20</v>
      </c>
      <c r="Q1092" t="s">
        <v>50</v>
      </c>
      <c r="R1092" t="str">
        <f t="shared" si="154"/>
        <v>15_51___10/20/2023_2023_MonMon_OWC_TR_PW_Lys_A_20_Nutri</v>
      </c>
    </row>
    <row r="1093" spans="1:18" x14ac:dyDescent="0.25">
      <c r="A1093">
        <v>15</v>
      </c>
      <c r="B1093">
        <v>52</v>
      </c>
      <c r="E1093" s="1">
        <v>45219</v>
      </c>
      <c r="F1093" s="11">
        <f t="shared" si="153"/>
        <v>45219</v>
      </c>
      <c r="G1093">
        <f t="shared" si="150"/>
        <v>2023</v>
      </c>
      <c r="H1093">
        <f t="shared" si="151"/>
        <v>10</v>
      </c>
      <c r="I1093">
        <f t="shared" si="152"/>
        <v>20</v>
      </c>
      <c r="J1093" t="s">
        <v>10</v>
      </c>
      <c r="K1093" t="s">
        <v>8</v>
      </c>
      <c r="L1093" t="s">
        <v>14</v>
      </c>
      <c r="M1093" t="s">
        <v>11</v>
      </c>
      <c r="N1093" t="s">
        <v>15</v>
      </c>
      <c r="O1093" t="s">
        <v>23</v>
      </c>
      <c r="P1093">
        <v>45</v>
      </c>
      <c r="Q1093" t="s">
        <v>50</v>
      </c>
      <c r="R1093" t="str">
        <f t="shared" si="154"/>
        <v>15_52___10/20/2023_2023_MonMon_OWC_TR_PW_Lys_A_45_Nutri</v>
      </c>
    </row>
    <row r="1094" spans="1:18" x14ac:dyDescent="0.25">
      <c r="A1094">
        <v>15</v>
      </c>
      <c r="B1094">
        <v>53</v>
      </c>
      <c r="E1094" s="1">
        <v>45219</v>
      </c>
      <c r="F1094" s="11">
        <f t="shared" si="153"/>
        <v>45219</v>
      </c>
      <c r="G1094">
        <f t="shared" si="150"/>
        <v>2023</v>
      </c>
      <c r="H1094">
        <f t="shared" si="151"/>
        <v>10</v>
      </c>
      <c r="I1094">
        <f t="shared" si="152"/>
        <v>20</v>
      </c>
      <c r="J1094" t="s">
        <v>10</v>
      </c>
      <c r="K1094" t="s">
        <v>8</v>
      </c>
      <c r="L1094" t="s">
        <v>14</v>
      </c>
      <c r="M1094" t="s">
        <v>11</v>
      </c>
      <c r="N1094" t="s">
        <v>15</v>
      </c>
      <c r="O1094" t="s">
        <v>24</v>
      </c>
      <c r="P1094">
        <v>10</v>
      </c>
      <c r="Q1094" t="s">
        <v>50</v>
      </c>
      <c r="R1094" t="str">
        <f t="shared" si="154"/>
        <v>15_53___10/20/2023_2023_MonMon_OWC_TR_PW_Lys_B_10_Nutri</v>
      </c>
    </row>
    <row r="1095" spans="1:18" x14ac:dyDescent="0.25">
      <c r="A1095">
        <v>15</v>
      </c>
      <c r="B1095">
        <v>54</v>
      </c>
      <c r="E1095" s="1">
        <v>45219</v>
      </c>
      <c r="F1095" s="11">
        <f t="shared" si="153"/>
        <v>45219</v>
      </c>
      <c r="G1095">
        <f t="shared" si="150"/>
        <v>2023</v>
      </c>
      <c r="H1095">
        <f t="shared" si="151"/>
        <v>10</v>
      </c>
      <c r="I1095">
        <f t="shared" si="152"/>
        <v>20</v>
      </c>
      <c r="J1095" t="s">
        <v>10</v>
      </c>
      <c r="K1095" t="s">
        <v>8</v>
      </c>
      <c r="L1095" t="s">
        <v>14</v>
      </c>
      <c r="M1095" t="s">
        <v>11</v>
      </c>
      <c r="N1095" t="s">
        <v>15</v>
      </c>
      <c r="O1095" t="s">
        <v>24</v>
      </c>
      <c r="P1095">
        <v>20</v>
      </c>
      <c r="Q1095" t="s">
        <v>50</v>
      </c>
      <c r="R1095" t="str">
        <f t="shared" si="154"/>
        <v>15_54___10/20/2023_2023_MonMon_OWC_TR_PW_Lys_B_20_Nutri</v>
      </c>
    </row>
    <row r="1096" spans="1:18" x14ac:dyDescent="0.25">
      <c r="A1096">
        <v>15</v>
      </c>
      <c r="B1096">
        <v>55</v>
      </c>
      <c r="E1096" s="1">
        <v>45219</v>
      </c>
      <c r="F1096" s="11">
        <f t="shared" si="153"/>
        <v>45219</v>
      </c>
      <c r="G1096">
        <f t="shared" si="150"/>
        <v>2023</v>
      </c>
      <c r="H1096">
        <f t="shared" si="151"/>
        <v>10</v>
      </c>
      <c r="I1096">
        <f t="shared" si="152"/>
        <v>20</v>
      </c>
      <c r="J1096" t="s">
        <v>10</v>
      </c>
      <c r="K1096" t="s">
        <v>8</v>
      </c>
      <c r="L1096" t="s">
        <v>14</v>
      </c>
      <c r="M1096" t="s">
        <v>11</v>
      </c>
      <c r="N1096" t="s">
        <v>15</v>
      </c>
      <c r="O1096" t="s">
        <v>24</v>
      </c>
      <c r="P1096">
        <v>45</v>
      </c>
      <c r="Q1096" t="s">
        <v>50</v>
      </c>
      <c r="R1096" t="str">
        <f t="shared" si="154"/>
        <v>15_55___10/20/2023_2023_MonMon_OWC_TR_PW_Lys_B_45_Nutri</v>
      </c>
    </row>
    <row r="1097" spans="1:18" x14ac:dyDescent="0.25">
      <c r="A1097">
        <v>15</v>
      </c>
      <c r="B1097">
        <v>56</v>
      </c>
      <c r="E1097" s="1">
        <v>45219</v>
      </c>
      <c r="F1097" s="11">
        <f t="shared" si="153"/>
        <v>45219</v>
      </c>
      <c r="G1097">
        <f t="shared" si="150"/>
        <v>2023</v>
      </c>
      <c r="H1097">
        <f t="shared" si="151"/>
        <v>10</v>
      </c>
      <c r="I1097">
        <f t="shared" si="152"/>
        <v>20</v>
      </c>
      <c r="J1097" t="s">
        <v>10</v>
      </c>
      <c r="K1097" t="s">
        <v>8</v>
      </c>
      <c r="L1097" t="s">
        <v>14</v>
      </c>
      <c r="M1097" t="s">
        <v>11</v>
      </c>
      <c r="N1097" t="s">
        <v>15</v>
      </c>
      <c r="O1097" t="s">
        <v>25</v>
      </c>
      <c r="P1097">
        <v>10</v>
      </c>
      <c r="Q1097" t="s">
        <v>50</v>
      </c>
      <c r="R1097" t="str">
        <f t="shared" si="154"/>
        <v>15_56___10/20/2023_2023_MonMon_OWC_TR_PW_Lys_C_10_Nutri</v>
      </c>
    </row>
    <row r="1098" spans="1:18" x14ac:dyDescent="0.25">
      <c r="A1098">
        <v>15</v>
      </c>
      <c r="B1098">
        <v>57</v>
      </c>
      <c r="E1098" s="1">
        <v>45219</v>
      </c>
      <c r="F1098" s="11">
        <f t="shared" si="153"/>
        <v>45219</v>
      </c>
      <c r="G1098">
        <f t="shared" si="150"/>
        <v>2023</v>
      </c>
      <c r="H1098">
        <f t="shared" si="151"/>
        <v>10</v>
      </c>
      <c r="I1098">
        <f t="shared" si="152"/>
        <v>20</v>
      </c>
      <c r="J1098" t="s">
        <v>10</v>
      </c>
      <c r="K1098" t="s">
        <v>8</v>
      </c>
      <c r="L1098" t="s">
        <v>14</v>
      </c>
      <c r="M1098" t="s">
        <v>11</v>
      </c>
      <c r="N1098" t="s">
        <v>15</v>
      </c>
      <c r="O1098" t="s">
        <v>25</v>
      </c>
      <c r="P1098">
        <v>20</v>
      </c>
      <c r="Q1098" t="s">
        <v>50</v>
      </c>
      <c r="R1098" t="str">
        <f t="shared" si="154"/>
        <v>15_57___10/20/2023_2023_MonMon_OWC_TR_PW_Lys_C_20_Nutri</v>
      </c>
    </row>
    <row r="1099" spans="1:18" x14ac:dyDescent="0.25">
      <c r="A1099">
        <v>15</v>
      </c>
      <c r="B1099">
        <v>58</v>
      </c>
      <c r="E1099" s="1">
        <v>45219</v>
      </c>
      <c r="F1099" s="11">
        <f t="shared" si="153"/>
        <v>45219</v>
      </c>
      <c r="G1099">
        <f t="shared" si="150"/>
        <v>2023</v>
      </c>
      <c r="H1099">
        <f t="shared" si="151"/>
        <v>10</v>
      </c>
      <c r="I1099">
        <f t="shared" si="152"/>
        <v>20</v>
      </c>
      <c r="J1099" t="s">
        <v>10</v>
      </c>
      <c r="K1099" t="s">
        <v>8</v>
      </c>
      <c r="L1099" t="s">
        <v>14</v>
      </c>
      <c r="M1099" t="s">
        <v>11</v>
      </c>
      <c r="N1099" t="s">
        <v>15</v>
      </c>
      <c r="O1099" t="s">
        <v>25</v>
      </c>
      <c r="P1099">
        <v>45</v>
      </c>
      <c r="Q1099" t="s">
        <v>50</v>
      </c>
      <c r="R1099" t="str">
        <f t="shared" si="154"/>
        <v>15_58___10/20/2023_2023_MonMon_OWC_TR_PW_Lys_C_45_Nutri</v>
      </c>
    </row>
    <row r="1100" spans="1:18" x14ac:dyDescent="0.25">
      <c r="A1100">
        <v>15</v>
      </c>
      <c r="B1100">
        <v>59</v>
      </c>
      <c r="E1100" s="1">
        <v>45219</v>
      </c>
      <c r="F1100" s="11">
        <f t="shared" si="153"/>
        <v>45219</v>
      </c>
      <c r="G1100">
        <f t="shared" si="150"/>
        <v>2023</v>
      </c>
      <c r="H1100">
        <f t="shared" si="151"/>
        <v>10</v>
      </c>
      <c r="I1100">
        <f t="shared" si="152"/>
        <v>20</v>
      </c>
      <c r="J1100" t="s">
        <v>10</v>
      </c>
      <c r="K1100" t="s">
        <v>8</v>
      </c>
      <c r="L1100" t="s">
        <v>14</v>
      </c>
      <c r="M1100" t="s">
        <v>26</v>
      </c>
      <c r="N1100" t="s">
        <v>18</v>
      </c>
      <c r="O1100">
        <v>2</v>
      </c>
      <c r="Q1100" t="s">
        <v>50</v>
      </c>
      <c r="R1100" t="str">
        <f t="shared" si="154"/>
        <v>15_59___10/20/2023_2023_MonMon_OWC_TR_RZ_Rz_2__Nutri</v>
      </c>
    </row>
    <row r="1101" spans="1:18" x14ac:dyDescent="0.25">
      <c r="A1101">
        <v>15</v>
      </c>
      <c r="B1101">
        <v>60</v>
      </c>
      <c r="E1101" s="1">
        <v>45219</v>
      </c>
      <c r="F1101" s="11">
        <f t="shared" si="153"/>
        <v>45219</v>
      </c>
      <c r="G1101">
        <f t="shared" si="150"/>
        <v>2023</v>
      </c>
      <c r="H1101">
        <f t="shared" si="151"/>
        <v>10</v>
      </c>
      <c r="I1101">
        <f t="shared" si="152"/>
        <v>20</v>
      </c>
      <c r="J1101" t="s">
        <v>10</v>
      </c>
      <c r="K1101" t="s">
        <v>8</v>
      </c>
      <c r="L1101" t="s">
        <v>14</v>
      </c>
      <c r="M1101" t="s">
        <v>26</v>
      </c>
      <c r="N1101" t="s">
        <v>18</v>
      </c>
      <c r="O1101">
        <v>3</v>
      </c>
      <c r="Q1101" t="s">
        <v>50</v>
      </c>
      <c r="R1101" t="str">
        <f t="shared" si="154"/>
        <v>15_60___10/20/2023_2023_MonMon_OWC_TR_RZ_Rz_3__Nutri</v>
      </c>
    </row>
    <row r="1102" spans="1:18" x14ac:dyDescent="0.25">
      <c r="A1102">
        <v>15</v>
      </c>
      <c r="B1102">
        <v>61</v>
      </c>
      <c r="E1102" s="1">
        <v>45219</v>
      </c>
      <c r="F1102" s="11">
        <f t="shared" si="153"/>
        <v>45219</v>
      </c>
      <c r="G1102">
        <f t="shared" si="150"/>
        <v>2023</v>
      </c>
      <c r="H1102">
        <f t="shared" si="151"/>
        <v>10</v>
      </c>
      <c r="I1102">
        <f t="shared" si="152"/>
        <v>20</v>
      </c>
      <c r="J1102" t="s">
        <v>10</v>
      </c>
      <c r="K1102" t="s">
        <v>8</v>
      </c>
      <c r="L1102" t="s">
        <v>14</v>
      </c>
      <c r="M1102" t="s">
        <v>26</v>
      </c>
      <c r="N1102" t="s">
        <v>18</v>
      </c>
      <c r="O1102">
        <v>5</v>
      </c>
      <c r="Q1102" t="s">
        <v>50</v>
      </c>
      <c r="R1102" t="str">
        <f t="shared" si="154"/>
        <v>15_61___10/20/2023_2023_MonMon_OWC_TR_RZ_Rz_5__Nutri</v>
      </c>
    </row>
    <row r="1103" spans="1:18" x14ac:dyDescent="0.25">
      <c r="A1103">
        <v>15</v>
      </c>
      <c r="B1103">
        <v>62</v>
      </c>
      <c r="E1103" s="1">
        <v>45219</v>
      </c>
      <c r="F1103" s="11">
        <f t="shared" si="153"/>
        <v>45219</v>
      </c>
      <c r="G1103">
        <f t="shared" si="150"/>
        <v>2023</v>
      </c>
      <c r="H1103">
        <f t="shared" si="151"/>
        <v>10</v>
      </c>
      <c r="I1103">
        <f t="shared" si="152"/>
        <v>20</v>
      </c>
      <c r="J1103" t="s">
        <v>10</v>
      </c>
      <c r="K1103" t="s">
        <v>8</v>
      </c>
      <c r="L1103" t="s">
        <v>14</v>
      </c>
      <c r="M1103" t="s">
        <v>26</v>
      </c>
      <c r="N1103" t="s">
        <v>18</v>
      </c>
      <c r="O1103">
        <v>6</v>
      </c>
      <c r="Q1103" t="s">
        <v>50</v>
      </c>
      <c r="R1103" t="str">
        <f t="shared" si="154"/>
        <v>15_62___10/20/2023_2023_MonMon_OWC_TR_RZ_Rz_6__Nutri</v>
      </c>
    </row>
    <row r="1104" spans="1:18" x14ac:dyDescent="0.25">
      <c r="A1104">
        <v>15</v>
      </c>
      <c r="B1104">
        <v>63</v>
      </c>
      <c r="E1104" s="1">
        <v>45219</v>
      </c>
      <c r="F1104" s="11">
        <f t="shared" si="153"/>
        <v>45219</v>
      </c>
      <c r="G1104">
        <f t="shared" si="150"/>
        <v>2023</v>
      </c>
      <c r="H1104">
        <f t="shared" si="151"/>
        <v>10</v>
      </c>
      <c r="I1104">
        <f t="shared" si="152"/>
        <v>20</v>
      </c>
      <c r="J1104" t="s">
        <v>10</v>
      </c>
      <c r="K1104" t="s">
        <v>8</v>
      </c>
      <c r="L1104" t="s">
        <v>14</v>
      </c>
      <c r="M1104" t="s">
        <v>26</v>
      </c>
      <c r="N1104" t="s">
        <v>18</v>
      </c>
      <c r="O1104">
        <v>8</v>
      </c>
      <c r="Q1104" t="s">
        <v>50</v>
      </c>
      <c r="R1104" t="str">
        <f t="shared" si="154"/>
        <v>15_63___10/20/2023_2023_MonMon_OWC_TR_RZ_Rz_8__Nutri</v>
      </c>
    </row>
    <row r="1105" spans="1:18" s="6" customFormat="1" x14ac:dyDescent="0.25">
      <c r="A1105" s="6">
        <v>15</v>
      </c>
      <c r="B1105" s="6">
        <v>64</v>
      </c>
      <c r="E1105" s="7">
        <v>45219</v>
      </c>
      <c r="F1105" s="11">
        <f t="shared" si="153"/>
        <v>45219</v>
      </c>
      <c r="G1105" s="6">
        <f t="shared" si="150"/>
        <v>2023</v>
      </c>
      <c r="H1105" s="6">
        <f t="shared" si="151"/>
        <v>10</v>
      </c>
      <c r="I1105" s="6">
        <f t="shared" si="152"/>
        <v>20</v>
      </c>
      <c r="J1105" s="6" t="s">
        <v>10</v>
      </c>
      <c r="K1105" s="6" t="s">
        <v>8</v>
      </c>
      <c r="L1105" s="6" t="s">
        <v>28</v>
      </c>
      <c r="M1105" s="6" t="s">
        <v>28</v>
      </c>
      <c r="N1105" s="6" t="s">
        <v>27</v>
      </c>
      <c r="O1105" s="6" t="s">
        <v>23</v>
      </c>
      <c r="Q1105" s="6" t="s">
        <v>50</v>
      </c>
      <c r="R1105" t="str">
        <f t="shared" si="154"/>
        <v>15_64___10/20/2023_2023_MonMon_OWC_OW_OW_Sip_A__Nutri</v>
      </c>
    </row>
    <row r="1106" spans="1:18" s="6" customFormat="1" x14ac:dyDescent="0.25">
      <c r="A1106" s="6">
        <v>15</v>
      </c>
      <c r="B1106" s="6">
        <v>65</v>
      </c>
      <c r="E1106" s="7">
        <v>45219</v>
      </c>
      <c r="F1106" s="11">
        <f t="shared" si="153"/>
        <v>45219</v>
      </c>
      <c r="G1106" s="6">
        <f t="shared" si="150"/>
        <v>2023</v>
      </c>
      <c r="H1106" s="6">
        <f t="shared" si="151"/>
        <v>10</v>
      </c>
      <c r="I1106" s="6">
        <f t="shared" si="152"/>
        <v>20</v>
      </c>
      <c r="J1106" s="6" t="s">
        <v>10</v>
      </c>
      <c r="K1106" s="6" t="s">
        <v>8</v>
      </c>
      <c r="L1106" s="6" t="s">
        <v>28</v>
      </c>
      <c r="M1106" s="6" t="s">
        <v>28</v>
      </c>
      <c r="N1106" s="6" t="s">
        <v>27</v>
      </c>
      <c r="O1106" s="6" t="s">
        <v>24</v>
      </c>
      <c r="Q1106" s="6" t="s">
        <v>50</v>
      </c>
      <c r="R1106" t="str">
        <f t="shared" si="154"/>
        <v>15_65___10/20/2023_2023_MonMon_OWC_OW_OW_Sip_B__Nutri</v>
      </c>
    </row>
    <row r="1107" spans="1:18" s="6" customFormat="1" x14ac:dyDescent="0.25">
      <c r="A1107" s="6">
        <v>15</v>
      </c>
      <c r="B1107" s="6">
        <v>66</v>
      </c>
      <c r="E1107" s="7">
        <v>45219</v>
      </c>
      <c r="F1107" s="11">
        <f t="shared" si="153"/>
        <v>45219</v>
      </c>
      <c r="G1107" s="6">
        <f t="shared" si="150"/>
        <v>2023</v>
      </c>
      <c r="H1107" s="6">
        <f t="shared" si="151"/>
        <v>10</v>
      </c>
      <c r="I1107" s="6">
        <f t="shared" si="152"/>
        <v>20</v>
      </c>
      <c r="J1107" s="6" t="s">
        <v>10</v>
      </c>
      <c r="K1107" s="6" t="s">
        <v>8</v>
      </c>
      <c r="L1107" s="6" t="s">
        <v>28</v>
      </c>
      <c r="M1107" s="6" t="s">
        <v>28</v>
      </c>
      <c r="N1107" s="6" t="s">
        <v>27</v>
      </c>
      <c r="O1107" s="6" t="s">
        <v>25</v>
      </c>
      <c r="Q1107" s="6" t="s">
        <v>50</v>
      </c>
      <c r="R1107" t="str">
        <f t="shared" si="154"/>
        <v>15_66___10/20/2023_2023_MonMon_OWC_OW_OW_Sip_C__Nutri</v>
      </c>
    </row>
    <row r="1108" spans="1:18" x14ac:dyDescent="0.25">
      <c r="A1108">
        <v>15</v>
      </c>
      <c r="B1108">
        <v>67</v>
      </c>
      <c r="E1108" s="1">
        <v>45219</v>
      </c>
      <c r="F1108" s="11">
        <f t="shared" si="153"/>
        <v>45219</v>
      </c>
      <c r="G1108">
        <f t="shared" si="150"/>
        <v>2023</v>
      </c>
      <c r="H1108">
        <f t="shared" si="151"/>
        <v>10</v>
      </c>
      <c r="I1108">
        <f t="shared" si="152"/>
        <v>20</v>
      </c>
      <c r="J1108" t="s">
        <v>10</v>
      </c>
      <c r="K1108" t="s">
        <v>8</v>
      </c>
      <c r="L1108" t="s">
        <v>9</v>
      </c>
      <c r="M1108" t="s">
        <v>33</v>
      </c>
      <c r="N1108" t="s">
        <v>27</v>
      </c>
      <c r="O1108" t="s">
        <v>23</v>
      </c>
      <c r="Q1108" t="s">
        <v>50</v>
      </c>
      <c r="R1108" t="str">
        <f t="shared" si="154"/>
        <v>15_67___10/20/2023_2023_MonMon_OWC_W_GW_Sip_A__Nutri</v>
      </c>
    </row>
    <row r="1109" spans="1:18" x14ac:dyDescent="0.25">
      <c r="A1109">
        <v>15</v>
      </c>
      <c r="B1109">
        <v>68</v>
      </c>
      <c r="E1109" s="1">
        <v>45219</v>
      </c>
      <c r="F1109" s="11">
        <f t="shared" si="153"/>
        <v>45219</v>
      </c>
      <c r="G1109">
        <f t="shared" si="150"/>
        <v>2023</v>
      </c>
      <c r="H1109">
        <f t="shared" si="151"/>
        <v>10</v>
      </c>
      <c r="I1109">
        <f t="shared" si="152"/>
        <v>20</v>
      </c>
      <c r="J1109" t="s">
        <v>10</v>
      </c>
      <c r="K1109" t="s">
        <v>8</v>
      </c>
      <c r="L1109" t="s">
        <v>9</v>
      </c>
      <c r="M1109" t="s">
        <v>33</v>
      </c>
      <c r="N1109" t="s">
        <v>27</v>
      </c>
      <c r="O1109" t="s">
        <v>24</v>
      </c>
      <c r="Q1109" t="s">
        <v>50</v>
      </c>
      <c r="R1109" t="str">
        <f t="shared" si="154"/>
        <v>15_68___10/20/2023_2023_MonMon_OWC_W_GW_Sip_B__Nutri</v>
      </c>
    </row>
    <row r="1110" spans="1:18" x14ac:dyDescent="0.25">
      <c r="A1110">
        <v>15</v>
      </c>
      <c r="B1110">
        <v>69</v>
      </c>
      <c r="E1110" s="1">
        <v>45219</v>
      </c>
      <c r="F1110" s="11">
        <f t="shared" si="153"/>
        <v>45219</v>
      </c>
      <c r="G1110">
        <f t="shared" si="150"/>
        <v>2023</v>
      </c>
      <c r="H1110">
        <f t="shared" si="151"/>
        <v>10</v>
      </c>
      <c r="I1110">
        <f t="shared" si="152"/>
        <v>20</v>
      </c>
      <c r="J1110" t="s">
        <v>10</v>
      </c>
      <c r="K1110" t="s">
        <v>8</v>
      </c>
      <c r="L1110" t="s">
        <v>9</v>
      </c>
      <c r="M1110" t="s">
        <v>33</v>
      </c>
      <c r="N1110" t="s">
        <v>27</v>
      </c>
      <c r="O1110" t="s">
        <v>25</v>
      </c>
      <c r="Q1110" t="s">
        <v>50</v>
      </c>
      <c r="R1110" t="str">
        <f t="shared" si="154"/>
        <v>15_69___10/20/2023_2023_MonMon_OWC_W_GW_Sip_C__Nutri</v>
      </c>
    </row>
    <row r="1111" spans="1:18" x14ac:dyDescent="0.25">
      <c r="A1111">
        <v>15</v>
      </c>
      <c r="B1111">
        <v>70</v>
      </c>
      <c r="E1111" s="1">
        <v>45219</v>
      </c>
      <c r="F1111" s="11">
        <f t="shared" si="153"/>
        <v>45219</v>
      </c>
      <c r="G1111">
        <f t="shared" si="150"/>
        <v>2023</v>
      </c>
      <c r="H1111">
        <f t="shared" si="151"/>
        <v>10</v>
      </c>
      <c r="I1111">
        <f t="shared" si="152"/>
        <v>20</v>
      </c>
      <c r="J1111" t="s">
        <v>10</v>
      </c>
      <c r="K1111" t="s">
        <v>8</v>
      </c>
      <c r="L1111" t="s">
        <v>14</v>
      </c>
      <c r="M1111" t="s">
        <v>33</v>
      </c>
      <c r="N1111" t="s">
        <v>27</v>
      </c>
      <c r="O1111" t="s">
        <v>23</v>
      </c>
      <c r="Q1111" t="s">
        <v>50</v>
      </c>
      <c r="R1111" t="str">
        <f t="shared" si="154"/>
        <v>15_70___10/20/2023_2023_MonMon_OWC_TR_GW_Sip_A__Nutri</v>
      </c>
    </row>
    <row r="1112" spans="1:18" x14ac:dyDescent="0.25">
      <c r="A1112">
        <v>15</v>
      </c>
      <c r="B1112">
        <v>71</v>
      </c>
      <c r="E1112" s="1">
        <v>45219</v>
      </c>
      <c r="F1112" s="11">
        <f t="shared" si="153"/>
        <v>45219</v>
      </c>
      <c r="G1112">
        <f t="shared" si="150"/>
        <v>2023</v>
      </c>
      <c r="H1112">
        <f t="shared" si="151"/>
        <v>10</v>
      </c>
      <c r="I1112">
        <f t="shared" si="152"/>
        <v>20</v>
      </c>
      <c r="J1112" t="s">
        <v>10</v>
      </c>
      <c r="K1112" t="s">
        <v>8</v>
      </c>
      <c r="L1112" t="s">
        <v>14</v>
      </c>
      <c r="M1112" t="s">
        <v>33</v>
      </c>
      <c r="N1112" t="s">
        <v>27</v>
      </c>
      <c r="O1112" t="s">
        <v>24</v>
      </c>
      <c r="Q1112" t="s">
        <v>50</v>
      </c>
      <c r="R1112" t="str">
        <f t="shared" si="154"/>
        <v>15_71___10/20/2023_2023_MonMon_OWC_TR_GW_Sip_B__Nutri</v>
      </c>
    </row>
    <row r="1113" spans="1:18" x14ac:dyDescent="0.25">
      <c r="A1113">
        <v>15</v>
      </c>
      <c r="B1113">
        <v>72</v>
      </c>
      <c r="E1113" s="1">
        <v>45219</v>
      </c>
      <c r="F1113" s="11">
        <f t="shared" si="153"/>
        <v>45219</v>
      </c>
      <c r="G1113">
        <f t="shared" si="150"/>
        <v>2023</v>
      </c>
      <c r="H1113">
        <f t="shared" si="151"/>
        <v>10</v>
      </c>
      <c r="I1113">
        <f t="shared" si="152"/>
        <v>20</v>
      </c>
      <c r="J1113" t="s">
        <v>10</v>
      </c>
      <c r="K1113" t="s">
        <v>8</v>
      </c>
      <c r="L1113" t="s">
        <v>14</v>
      </c>
      <c r="M1113" t="s">
        <v>33</v>
      </c>
      <c r="N1113" t="s">
        <v>27</v>
      </c>
      <c r="O1113" t="s">
        <v>25</v>
      </c>
      <c r="Q1113" t="s">
        <v>50</v>
      </c>
      <c r="R1113" t="str">
        <f t="shared" si="154"/>
        <v>15_72___10/20/2023_2023_MonMon_OWC_TR_GW_Sip_C__Nutri</v>
      </c>
    </row>
    <row r="1114" spans="1:18" x14ac:dyDescent="0.25">
      <c r="A1114">
        <v>16</v>
      </c>
      <c r="B1114">
        <v>1</v>
      </c>
      <c r="E1114" s="1">
        <v>45324</v>
      </c>
      <c r="F1114" s="11">
        <f t="shared" si="153"/>
        <v>45324</v>
      </c>
      <c r="G1114">
        <f t="shared" ref="G1114:G1115" si="155">YEAR(E1114)</f>
        <v>2024</v>
      </c>
      <c r="H1114">
        <f t="shared" ref="H1114:H1115" si="156">MONTH(E1114)</f>
        <v>2</v>
      </c>
      <c r="I1114">
        <f t="shared" ref="I1114:I1115" si="157">DAY(E1114)</f>
        <v>2</v>
      </c>
      <c r="J1114" t="s">
        <v>10</v>
      </c>
      <c r="K1114" t="s">
        <v>16</v>
      </c>
      <c r="L1114" t="s">
        <v>9</v>
      </c>
      <c r="M1114" t="s">
        <v>11</v>
      </c>
      <c r="N1114" t="s">
        <v>27</v>
      </c>
      <c r="O1114" t="s">
        <v>24</v>
      </c>
      <c r="P1114">
        <v>10</v>
      </c>
      <c r="Q1114" t="s">
        <v>50</v>
      </c>
      <c r="R1114" t="str">
        <f t="shared" si="154"/>
        <v>16_1___02/02/2024_2024_MonMon_CRC_W_PW_Sip_B_10_Nutri</v>
      </c>
    </row>
    <row r="1115" spans="1:18" x14ac:dyDescent="0.25">
      <c r="A1115">
        <v>16</v>
      </c>
      <c r="B1115">
        <v>2</v>
      </c>
      <c r="E1115" s="1">
        <v>45324</v>
      </c>
      <c r="F1115" s="11">
        <f t="shared" si="153"/>
        <v>45324</v>
      </c>
      <c r="G1115">
        <f t="shared" si="155"/>
        <v>2024</v>
      </c>
      <c r="H1115">
        <f t="shared" si="156"/>
        <v>2</v>
      </c>
      <c r="I1115">
        <f t="shared" si="157"/>
        <v>2</v>
      </c>
      <c r="J1115" t="s">
        <v>10</v>
      </c>
      <c r="K1115" t="s">
        <v>16</v>
      </c>
      <c r="L1115" t="s">
        <v>9</v>
      </c>
      <c r="M1115" t="s">
        <v>11</v>
      </c>
      <c r="N1115" t="s">
        <v>27</v>
      </c>
      <c r="O1115" t="s">
        <v>24</v>
      </c>
      <c r="P1115">
        <v>20</v>
      </c>
      <c r="Q1115" t="s">
        <v>50</v>
      </c>
      <c r="R1115" t="str">
        <f t="shared" si="154"/>
        <v>16_2___02/02/2024_2024_MonMon_CRC_W_PW_Sip_B_20_Nutri</v>
      </c>
    </row>
    <row r="1116" spans="1:18" x14ac:dyDescent="0.25">
      <c r="A1116">
        <v>16</v>
      </c>
      <c r="B1116">
        <v>3</v>
      </c>
      <c r="E1116" s="1">
        <v>45324</v>
      </c>
      <c r="F1116" s="11">
        <f t="shared" si="153"/>
        <v>45324</v>
      </c>
      <c r="G1116">
        <f t="shared" ref="G1116:G1136" si="158">YEAR(E1116)</f>
        <v>2024</v>
      </c>
      <c r="H1116">
        <f t="shared" ref="H1116:H1136" si="159">MONTH(E1116)</f>
        <v>2</v>
      </c>
      <c r="I1116">
        <f t="shared" ref="I1116:I1136" si="160">DAY(E1116)</f>
        <v>2</v>
      </c>
      <c r="J1116" t="s">
        <v>10</v>
      </c>
      <c r="K1116" t="s">
        <v>16</v>
      </c>
      <c r="L1116" t="s">
        <v>9</v>
      </c>
      <c r="M1116" t="s">
        <v>11</v>
      </c>
      <c r="N1116" t="s">
        <v>27</v>
      </c>
      <c r="O1116" t="s">
        <v>24</v>
      </c>
      <c r="P1116">
        <v>45</v>
      </c>
      <c r="Q1116" t="s">
        <v>50</v>
      </c>
      <c r="R1116" t="str">
        <f t="shared" si="154"/>
        <v>16_3___02/02/2024_2024_MonMon_CRC_W_PW_Sip_B_45_Nutri</v>
      </c>
    </row>
    <row r="1117" spans="1:18" x14ac:dyDescent="0.25">
      <c r="A1117">
        <v>16</v>
      </c>
      <c r="B1117">
        <v>4</v>
      </c>
      <c r="E1117" s="1">
        <v>45324</v>
      </c>
      <c r="F1117" s="11">
        <f t="shared" si="153"/>
        <v>45324</v>
      </c>
      <c r="G1117">
        <f t="shared" si="158"/>
        <v>2024</v>
      </c>
      <c r="H1117">
        <f t="shared" si="159"/>
        <v>2</v>
      </c>
      <c r="I1117">
        <f t="shared" si="160"/>
        <v>2</v>
      </c>
      <c r="J1117" t="s">
        <v>10</v>
      </c>
      <c r="K1117" t="s">
        <v>16</v>
      </c>
      <c r="L1117" t="s">
        <v>9</v>
      </c>
      <c r="M1117" t="s">
        <v>11</v>
      </c>
      <c r="N1117" t="s">
        <v>27</v>
      </c>
      <c r="O1117" t="s">
        <v>25</v>
      </c>
      <c r="P1117">
        <v>10</v>
      </c>
      <c r="Q1117" t="s">
        <v>50</v>
      </c>
      <c r="R1117" t="str">
        <f t="shared" si="154"/>
        <v>16_4___02/02/2024_2024_MonMon_CRC_W_PW_Sip_C_10_Nutri</v>
      </c>
    </row>
    <row r="1118" spans="1:18" x14ac:dyDescent="0.25">
      <c r="A1118">
        <v>16</v>
      </c>
      <c r="B1118">
        <v>5</v>
      </c>
      <c r="E1118" s="1">
        <v>45324</v>
      </c>
      <c r="F1118" s="11">
        <f t="shared" si="153"/>
        <v>45324</v>
      </c>
      <c r="G1118">
        <f t="shared" si="158"/>
        <v>2024</v>
      </c>
      <c r="H1118">
        <f t="shared" si="159"/>
        <v>2</v>
      </c>
      <c r="I1118">
        <f t="shared" si="160"/>
        <v>2</v>
      </c>
      <c r="J1118" t="s">
        <v>10</v>
      </c>
      <c r="K1118" t="s">
        <v>16</v>
      </c>
      <c r="L1118" t="s">
        <v>9</v>
      </c>
      <c r="M1118" t="s">
        <v>11</v>
      </c>
      <c r="N1118" t="s">
        <v>27</v>
      </c>
      <c r="O1118" t="s">
        <v>25</v>
      </c>
      <c r="P1118">
        <v>20</v>
      </c>
      <c r="Q1118" t="s">
        <v>50</v>
      </c>
      <c r="R1118" t="str">
        <f t="shared" si="154"/>
        <v>16_5___02/02/2024_2024_MonMon_CRC_W_PW_Sip_C_20_Nutri</v>
      </c>
    </row>
    <row r="1119" spans="1:18" x14ac:dyDescent="0.25">
      <c r="A1119">
        <v>16</v>
      </c>
      <c r="B1119">
        <v>6</v>
      </c>
      <c r="E1119" s="1">
        <v>45324</v>
      </c>
      <c r="F1119" s="11">
        <f t="shared" si="153"/>
        <v>45324</v>
      </c>
      <c r="G1119">
        <f t="shared" si="158"/>
        <v>2024</v>
      </c>
      <c r="H1119">
        <f t="shared" si="159"/>
        <v>2</v>
      </c>
      <c r="I1119">
        <f t="shared" si="160"/>
        <v>2</v>
      </c>
      <c r="J1119" t="s">
        <v>10</v>
      </c>
      <c r="K1119" t="s">
        <v>16</v>
      </c>
      <c r="L1119" t="s">
        <v>9</v>
      </c>
      <c r="M1119" t="s">
        <v>11</v>
      </c>
      <c r="N1119" t="s">
        <v>27</v>
      </c>
      <c r="O1119" t="s">
        <v>25</v>
      </c>
      <c r="P1119">
        <v>45</v>
      </c>
      <c r="Q1119" t="s">
        <v>50</v>
      </c>
      <c r="R1119" t="str">
        <f t="shared" si="154"/>
        <v>16_6___02/02/2024_2024_MonMon_CRC_W_PW_Sip_C_45_Nutri</v>
      </c>
    </row>
    <row r="1120" spans="1:18" x14ac:dyDescent="0.25">
      <c r="A1120">
        <v>16</v>
      </c>
      <c r="B1120">
        <v>7</v>
      </c>
      <c r="E1120" s="1">
        <v>45324</v>
      </c>
      <c r="F1120" s="11">
        <f t="shared" si="153"/>
        <v>45324</v>
      </c>
      <c r="G1120">
        <f t="shared" si="158"/>
        <v>2024</v>
      </c>
      <c r="H1120">
        <f t="shared" si="159"/>
        <v>2</v>
      </c>
      <c r="I1120">
        <f t="shared" si="160"/>
        <v>2</v>
      </c>
      <c r="J1120" t="s">
        <v>10</v>
      </c>
      <c r="K1120" t="s">
        <v>16</v>
      </c>
      <c r="L1120" t="s">
        <v>14</v>
      </c>
      <c r="M1120" t="s">
        <v>11</v>
      </c>
      <c r="N1120" t="s">
        <v>15</v>
      </c>
      <c r="O1120" t="s">
        <v>23</v>
      </c>
      <c r="P1120">
        <v>10</v>
      </c>
      <c r="Q1120" t="s">
        <v>50</v>
      </c>
      <c r="R1120" t="str">
        <f t="shared" si="154"/>
        <v>16_7___02/02/2024_2024_MonMon_CRC_TR_PW_Lys_A_10_Nutri</v>
      </c>
    </row>
    <row r="1121" spans="1:18" x14ac:dyDescent="0.25">
      <c r="A1121">
        <v>16</v>
      </c>
      <c r="B1121">
        <v>8</v>
      </c>
      <c r="E1121" s="1">
        <v>45324</v>
      </c>
      <c r="F1121" s="11">
        <f t="shared" si="153"/>
        <v>45324</v>
      </c>
      <c r="G1121">
        <f t="shared" si="158"/>
        <v>2024</v>
      </c>
      <c r="H1121">
        <f t="shared" si="159"/>
        <v>2</v>
      </c>
      <c r="I1121">
        <f t="shared" si="160"/>
        <v>2</v>
      </c>
      <c r="J1121" t="s">
        <v>10</v>
      </c>
      <c r="K1121" t="s">
        <v>16</v>
      </c>
      <c r="L1121" t="s">
        <v>14</v>
      </c>
      <c r="M1121" t="s">
        <v>11</v>
      </c>
      <c r="N1121" t="s">
        <v>15</v>
      </c>
      <c r="O1121" t="s">
        <v>23</v>
      </c>
      <c r="P1121">
        <v>10</v>
      </c>
      <c r="Q1121" t="s">
        <v>50</v>
      </c>
      <c r="R1121" t="str">
        <f t="shared" si="154"/>
        <v>16_8___02/02/2024_2024_MonMon_CRC_TR_PW_Lys_A_10_Nutri</v>
      </c>
    </row>
    <row r="1122" spans="1:18" x14ac:dyDescent="0.25">
      <c r="A1122">
        <v>16</v>
      </c>
      <c r="B1122">
        <v>9</v>
      </c>
      <c r="E1122" s="1">
        <v>45324</v>
      </c>
      <c r="F1122" s="11">
        <f t="shared" si="153"/>
        <v>45324</v>
      </c>
      <c r="G1122">
        <f t="shared" si="158"/>
        <v>2024</v>
      </c>
      <c r="H1122">
        <f t="shared" si="159"/>
        <v>2</v>
      </c>
      <c r="I1122">
        <f t="shared" si="160"/>
        <v>2</v>
      </c>
      <c r="J1122" t="s">
        <v>10</v>
      </c>
      <c r="K1122" t="s">
        <v>16</v>
      </c>
      <c r="L1122" t="s">
        <v>14</v>
      </c>
      <c r="M1122" t="s">
        <v>11</v>
      </c>
      <c r="N1122" t="s">
        <v>15</v>
      </c>
      <c r="O1122" t="s">
        <v>23</v>
      </c>
      <c r="P1122">
        <v>20</v>
      </c>
      <c r="Q1122" t="s">
        <v>50</v>
      </c>
      <c r="R1122" t="str">
        <f t="shared" si="154"/>
        <v>16_9___02/02/2024_2024_MonMon_CRC_TR_PW_Lys_A_20_Nutri</v>
      </c>
    </row>
    <row r="1123" spans="1:18" x14ac:dyDescent="0.25">
      <c r="A1123">
        <v>16</v>
      </c>
      <c r="B1123">
        <v>10</v>
      </c>
      <c r="E1123" s="1">
        <v>45324</v>
      </c>
      <c r="F1123" s="11">
        <f t="shared" si="153"/>
        <v>45324</v>
      </c>
      <c r="G1123">
        <f t="shared" si="158"/>
        <v>2024</v>
      </c>
      <c r="H1123">
        <f t="shared" si="159"/>
        <v>2</v>
      </c>
      <c r="I1123">
        <f t="shared" si="160"/>
        <v>2</v>
      </c>
      <c r="J1123" t="s">
        <v>10</v>
      </c>
      <c r="K1123" t="s">
        <v>16</v>
      </c>
      <c r="L1123" t="s">
        <v>14</v>
      </c>
      <c r="M1123" t="s">
        <v>11</v>
      </c>
      <c r="N1123" t="s">
        <v>15</v>
      </c>
      <c r="O1123" t="s">
        <v>24</v>
      </c>
      <c r="P1123">
        <v>20</v>
      </c>
      <c r="Q1123" t="s">
        <v>50</v>
      </c>
      <c r="R1123" t="str">
        <f t="shared" si="154"/>
        <v>16_10___02/02/2024_2024_MonMon_CRC_TR_PW_Lys_B_20_Nutri</v>
      </c>
    </row>
    <row r="1124" spans="1:18" x14ac:dyDescent="0.25">
      <c r="A1124">
        <v>16</v>
      </c>
      <c r="B1124">
        <v>11</v>
      </c>
      <c r="E1124" s="1">
        <v>45324</v>
      </c>
      <c r="F1124" s="11">
        <f t="shared" si="153"/>
        <v>45324</v>
      </c>
      <c r="G1124">
        <f t="shared" si="158"/>
        <v>2024</v>
      </c>
      <c r="H1124">
        <f t="shared" si="159"/>
        <v>2</v>
      </c>
      <c r="I1124">
        <f t="shared" si="160"/>
        <v>2</v>
      </c>
      <c r="J1124" t="s">
        <v>10</v>
      </c>
      <c r="K1124" t="s">
        <v>16</v>
      </c>
      <c r="L1124" t="s">
        <v>14</v>
      </c>
      <c r="M1124" t="s">
        <v>11</v>
      </c>
      <c r="N1124" t="s">
        <v>15</v>
      </c>
      <c r="O1124" t="s">
        <v>24</v>
      </c>
      <c r="P1124">
        <v>45</v>
      </c>
      <c r="Q1124" t="s">
        <v>50</v>
      </c>
      <c r="R1124" t="str">
        <f t="shared" si="154"/>
        <v>16_11___02/02/2024_2024_MonMon_CRC_TR_PW_Lys_B_45_Nutri</v>
      </c>
    </row>
    <row r="1125" spans="1:18" x14ac:dyDescent="0.25">
      <c r="A1125">
        <v>16</v>
      </c>
      <c r="B1125">
        <v>12</v>
      </c>
      <c r="E1125" s="1">
        <v>45324</v>
      </c>
      <c r="F1125" s="11">
        <f t="shared" si="153"/>
        <v>45324</v>
      </c>
      <c r="G1125">
        <f t="shared" si="158"/>
        <v>2024</v>
      </c>
      <c r="H1125">
        <f t="shared" si="159"/>
        <v>2</v>
      </c>
      <c r="I1125">
        <f t="shared" si="160"/>
        <v>2</v>
      </c>
      <c r="J1125" t="s">
        <v>10</v>
      </c>
      <c r="K1125" t="s">
        <v>16</v>
      </c>
      <c r="L1125" t="s">
        <v>14</v>
      </c>
      <c r="M1125" t="s">
        <v>11</v>
      </c>
      <c r="N1125" t="s">
        <v>15</v>
      </c>
      <c r="O1125" t="s">
        <v>25</v>
      </c>
      <c r="P1125">
        <v>10</v>
      </c>
      <c r="Q1125" t="s">
        <v>50</v>
      </c>
      <c r="R1125" t="str">
        <f t="shared" si="154"/>
        <v>16_12___02/02/2024_2024_MonMon_CRC_TR_PW_Lys_C_10_Nutri</v>
      </c>
    </row>
    <row r="1126" spans="1:18" x14ac:dyDescent="0.25">
      <c r="A1126">
        <v>16</v>
      </c>
      <c r="B1126">
        <v>13</v>
      </c>
      <c r="E1126" s="1">
        <v>45324</v>
      </c>
      <c r="F1126" s="11">
        <f t="shared" si="153"/>
        <v>45324</v>
      </c>
      <c r="G1126">
        <f t="shared" si="158"/>
        <v>2024</v>
      </c>
      <c r="H1126">
        <f t="shared" si="159"/>
        <v>2</v>
      </c>
      <c r="I1126">
        <f t="shared" si="160"/>
        <v>2</v>
      </c>
      <c r="J1126" t="s">
        <v>10</v>
      </c>
      <c r="K1126" t="s">
        <v>16</v>
      </c>
      <c r="L1126" t="s">
        <v>14</v>
      </c>
      <c r="M1126" t="s">
        <v>11</v>
      </c>
      <c r="N1126" t="s">
        <v>15</v>
      </c>
      <c r="O1126" t="s">
        <v>25</v>
      </c>
      <c r="P1126">
        <v>20</v>
      </c>
      <c r="Q1126" t="s">
        <v>50</v>
      </c>
      <c r="R1126" t="str">
        <f t="shared" si="154"/>
        <v>16_13___02/02/2024_2024_MonMon_CRC_TR_PW_Lys_C_20_Nutri</v>
      </c>
    </row>
    <row r="1127" spans="1:18" x14ac:dyDescent="0.25">
      <c r="A1127">
        <v>16</v>
      </c>
      <c r="B1127">
        <v>14</v>
      </c>
      <c r="E1127" s="1">
        <v>45324</v>
      </c>
      <c r="F1127" s="11">
        <f t="shared" si="153"/>
        <v>45324</v>
      </c>
      <c r="G1127">
        <f t="shared" si="158"/>
        <v>2024</v>
      </c>
      <c r="H1127">
        <f t="shared" si="159"/>
        <v>2</v>
      </c>
      <c r="I1127">
        <f t="shared" si="160"/>
        <v>2</v>
      </c>
      <c r="J1127" t="s">
        <v>10</v>
      </c>
      <c r="K1127" t="s">
        <v>16</v>
      </c>
      <c r="L1127" t="s">
        <v>14</v>
      </c>
      <c r="M1127" t="s">
        <v>11</v>
      </c>
      <c r="N1127" t="s">
        <v>15</v>
      </c>
      <c r="O1127" t="s">
        <v>25</v>
      </c>
      <c r="P1127">
        <v>45</v>
      </c>
      <c r="Q1127" t="s">
        <v>50</v>
      </c>
      <c r="R1127" t="str">
        <f t="shared" si="154"/>
        <v>16_14___02/02/2024_2024_MonMon_CRC_TR_PW_Lys_C_45_Nutri</v>
      </c>
    </row>
    <row r="1128" spans="1:18" x14ac:dyDescent="0.25">
      <c r="A1128">
        <v>16</v>
      </c>
      <c r="B1128">
        <v>15</v>
      </c>
      <c r="E1128" s="1">
        <v>45324</v>
      </c>
      <c r="F1128" s="11">
        <f t="shared" si="153"/>
        <v>45324</v>
      </c>
      <c r="G1128">
        <f t="shared" si="158"/>
        <v>2024</v>
      </c>
      <c r="H1128">
        <f t="shared" si="159"/>
        <v>2</v>
      </c>
      <c r="I1128">
        <f t="shared" si="160"/>
        <v>2</v>
      </c>
      <c r="J1128" t="s">
        <v>10</v>
      </c>
      <c r="K1128" t="s">
        <v>16</v>
      </c>
      <c r="L1128" t="s">
        <v>9</v>
      </c>
      <c r="M1128" t="s">
        <v>33</v>
      </c>
      <c r="N1128" t="s">
        <v>27</v>
      </c>
      <c r="O1128" t="s">
        <v>23</v>
      </c>
      <c r="Q1128" t="s">
        <v>50</v>
      </c>
      <c r="R1128" t="str">
        <f t="shared" si="154"/>
        <v>16_15___02/02/2024_2024_MonMon_CRC_W_GW_Sip_A__Nutri</v>
      </c>
    </row>
    <row r="1129" spans="1:18" x14ac:dyDescent="0.25">
      <c r="A1129">
        <v>16</v>
      </c>
      <c r="B1129">
        <v>16</v>
      </c>
      <c r="E1129" s="1">
        <v>45324</v>
      </c>
      <c r="F1129" s="11">
        <f t="shared" si="153"/>
        <v>45324</v>
      </c>
      <c r="G1129">
        <f t="shared" si="158"/>
        <v>2024</v>
      </c>
      <c r="H1129">
        <f t="shared" si="159"/>
        <v>2</v>
      </c>
      <c r="I1129">
        <f t="shared" si="160"/>
        <v>2</v>
      </c>
      <c r="J1129" t="s">
        <v>10</v>
      </c>
      <c r="K1129" t="s">
        <v>16</v>
      </c>
      <c r="L1129" t="s">
        <v>9</v>
      </c>
      <c r="M1129" t="s">
        <v>33</v>
      </c>
      <c r="N1129" t="s">
        <v>27</v>
      </c>
      <c r="O1129" t="s">
        <v>24</v>
      </c>
      <c r="Q1129" t="s">
        <v>50</v>
      </c>
      <c r="R1129" t="str">
        <f t="shared" si="154"/>
        <v>16_16___02/02/2024_2024_MonMon_CRC_W_GW_Sip_B__Nutri</v>
      </c>
    </row>
    <row r="1130" spans="1:18" x14ac:dyDescent="0.25">
      <c r="A1130">
        <v>16</v>
      </c>
      <c r="B1130">
        <v>17</v>
      </c>
      <c r="E1130" s="1">
        <v>45324</v>
      </c>
      <c r="F1130" s="11">
        <f t="shared" si="153"/>
        <v>45324</v>
      </c>
      <c r="G1130">
        <f t="shared" si="158"/>
        <v>2024</v>
      </c>
      <c r="H1130">
        <f t="shared" si="159"/>
        <v>2</v>
      </c>
      <c r="I1130">
        <f t="shared" si="160"/>
        <v>2</v>
      </c>
      <c r="J1130" t="s">
        <v>10</v>
      </c>
      <c r="K1130" t="s">
        <v>16</v>
      </c>
      <c r="L1130" t="s">
        <v>9</v>
      </c>
      <c r="M1130" t="s">
        <v>33</v>
      </c>
      <c r="N1130" t="s">
        <v>27</v>
      </c>
      <c r="O1130" t="s">
        <v>25</v>
      </c>
      <c r="Q1130" t="s">
        <v>50</v>
      </c>
      <c r="R1130" t="str">
        <f t="shared" si="154"/>
        <v>16_17___02/02/2024_2024_MonMon_CRC_W_GW_Sip_C__Nutri</v>
      </c>
    </row>
    <row r="1131" spans="1:18" x14ac:dyDescent="0.25">
      <c r="A1131">
        <v>16</v>
      </c>
      <c r="B1131">
        <v>18</v>
      </c>
      <c r="E1131" s="1">
        <v>45324</v>
      </c>
      <c r="F1131" s="11">
        <f t="shared" si="153"/>
        <v>45324</v>
      </c>
      <c r="G1131">
        <f t="shared" si="158"/>
        <v>2024</v>
      </c>
      <c r="H1131">
        <f t="shared" si="159"/>
        <v>2</v>
      </c>
      <c r="I1131">
        <f t="shared" si="160"/>
        <v>2</v>
      </c>
      <c r="J1131" t="s">
        <v>10</v>
      </c>
      <c r="K1131" t="s">
        <v>16</v>
      </c>
      <c r="L1131" t="s">
        <v>14</v>
      </c>
      <c r="M1131" t="s">
        <v>33</v>
      </c>
      <c r="N1131" t="s">
        <v>27</v>
      </c>
      <c r="O1131" t="s">
        <v>23</v>
      </c>
      <c r="Q1131" t="s">
        <v>50</v>
      </c>
      <c r="R1131" t="str">
        <f t="shared" si="154"/>
        <v>16_18___02/02/2024_2024_MonMon_CRC_TR_GW_Sip_A__Nutri</v>
      </c>
    </row>
    <row r="1132" spans="1:18" x14ac:dyDescent="0.25">
      <c r="A1132">
        <v>16</v>
      </c>
      <c r="B1132">
        <v>19</v>
      </c>
      <c r="E1132" s="1">
        <v>45324</v>
      </c>
      <c r="F1132" s="11">
        <f t="shared" si="153"/>
        <v>45324</v>
      </c>
      <c r="G1132">
        <f t="shared" si="158"/>
        <v>2024</v>
      </c>
      <c r="H1132">
        <f t="shared" si="159"/>
        <v>2</v>
      </c>
      <c r="I1132">
        <f t="shared" si="160"/>
        <v>2</v>
      </c>
      <c r="J1132" t="s">
        <v>10</v>
      </c>
      <c r="K1132" t="s">
        <v>16</v>
      </c>
      <c r="L1132" t="s">
        <v>14</v>
      </c>
      <c r="M1132" t="s">
        <v>33</v>
      </c>
      <c r="N1132" t="s">
        <v>27</v>
      </c>
      <c r="O1132" t="s">
        <v>24</v>
      </c>
      <c r="Q1132" t="s">
        <v>50</v>
      </c>
      <c r="R1132" t="str">
        <f t="shared" si="154"/>
        <v>16_19___02/02/2024_2024_MonMon_CRC_TR_GW_Sip_B__Nutri</v>
      </c>
    </row>
    <row r="1133" spans="1:18" x14ac:dyDescent="0.25">
      <c r="A1133">
        <v>16</v>
      </c>
      <c r="B1133">
        <v>20</v>
      </c>
      <c r="E1133" s="1">
        <v>45324</v>
      </c>
      <c r="F1133" s="11">
        <f t="shared" si="153"/>
        <v>45324</v>
      </c>
      <c r="G1133">
        <f t="shared" si="158"/>
        <v>2024</v>
      </c>
      <c r="H1133">
        <f t="shared" si="159"/>
        <v>2</v>
      </c>
      <c r="I1133">
        <f t="shared" si="160"/>
        <v>2</v>
      </c>
      <c r="J1133" t="s">
        <v>10</v>
      </c>
      <c r="K1133" t="s">
        <v>16</v>
      </c>
      <c r="L1133" t="s">
        <v>14</v>
      </c>
      <c r="M1133" t="s">
        <v>33</v>
      </c>
      <c r="N1133" t="s">
        <v>27</v>
      </c>
      <c r="O1133" t="s">
        <v>25</v>
      </c>
      <c r="Q1133" t="s">
        <v>50</v>
      </c>
      <c r="R1133" t="str">
        <f t="shared" si="154"/>
        <v>16_20___02/02/2024_2024_MonMon_CRC_TR_GW_Sip_C__Nutri</v>
      </c>
    </row>
    <row r="1134" spans="1:18" x14ac:dyDescent="0.25">
      <c r="A1134">
        <v>16</v>
      </c>
      <c r="B1134">
        <v>21</v>
      </c>
      <c r="E1134" s="1">
        <v>45324</v>
      </c>
      <c r="F1134" s="11">
        <f t="shared" si="153"/>
        <v>45324</v>
      </c>
      <c r="G1134">
        <f t="shared" si="158"/>
        <v>2024</v>
      </c>
      <c r="H1134">
        <f t="shared" si="159"/>
        <v>2</v>
      </c>
      <c r="I1134">
        <f t="shared" si="160"/>
        <v>2</v>
      </c>
      <c r="J1134" t="s">
        <v>10</v>
      </c>
      <c r="K1134" t="s">
        <v>16</v>
      </c>
      <c r="L1134" t="s">
        <v>17</v>
      </c>
      <c r="M1134" t="s">
        <v>33</v>
      </c>
      <c r="N1134" t="s">
        <v>27</v>
      </c>
      <c r="O1134" t="s">
        <v>23</v>
      </c>
      <c r="Q1134" t="s">
        <v>50</v>
      </c>
      <c r="R1134" t="str">
        <f t="shared" si="154"/>
        <v>16_21___02/02/2024_2024_MonMon_CRC_UP_GW_Sip_A__Nutri</v>
      </c>
    </row>
    <row r="1135" spans="1:18" x14ac:dyDescent="0.25">
      <c r="A1135">
        <v>16</v>
      </c>
      <c r="B1135">
        <v>22</v>
      </c>
      <c r="E1135" s="1">
        <v>45324</v>
      </c>
      <c r="F1135" s="11">
        <f t="shared" si="153"/>
        <v>45324</v>
      </c>
      <c r="G1135">
        <f t="shared" si="158"/>
        <v>2024</v>
      </c>
      <c r="H1135">
        <f t="shared" si="159"/>
        <v>2</v>
      </c>
      <c r="I1135">
        <f t="shared" si="160"/>
        <v>2</v>
      </c>
      <c r="J1135" t="s">
        <v>10</v>
      </c>
      <c r="K1135" t="s">
        <v>16</v>
      </c>
      <c r="L1135" t="s">
        <v>17</v>
      </c>
      <c r="M1135" t="s">
        <v>33</v>
      </c>
      <c r="N1135" t="s">
        <v>27</v>
      </c>
      <c r="O1135" t="s">
        <v>24</v>
      </c>
      <c r="Q1135" t="s">
        <v>50</v>
      </c>
      <c r="R1135" t="str">
        <f t="shared" si="154"/>
        <v>16_22___02/02/2024_2024_MonMon_CRC_UP_GW_Sip_B__Nutri</v>
      </c>
    </row>
    <row r="1136" spans="1:18" x14ac:dyDescent="0.25">
      <c r="A1136">
        <v>16</v>
      </c>
      <c r="B1136">
        <v>23</v>
      </c>
      <c r="E1136" s="1">
        <v>45324</v>
      </c>
      <c r="F1136" s="11">
        <f t="shared" si="153"/>
        <v>45324</v>
      </c>
      <c r="G1136">
        <f t="shared" si="158"/>
        <v>2024</v>
      </c>
      <c r="H1136">
        <f t="shared" si="159"/>
        <v>2</v>
      </c>
      <c r="I1136">
        <f t="shared" si="160"/>
        <v>2</v>
      </c>
      <c r="J1136" t="s">
        <v>10</v>
      </c>
      <c r="K1136" t="s">
        <v>16</v>
      </c>
      <c r="L1136" t="s">
        <v>17</v>
      </c>
      <c r="M1136" t="s">
        <v>33</v>
      </c>
      <c r="N1136" t="s">
        <v>27</v>
      </c>
      <c r="O1136" t="s">
        <v>25</v>
      </c>
      <c r="Q1136" t="s">
        <v>50</v>
      </c>
      <c r="R1136" t="str">
        <f t="shared" si="154"/>
        <v>16_23___02/02/2024_2024_MonMon_CRC_UP_GW_Sip_C__Nutri</v>
      </c>
    </row>
    <row r="1137" spans="1:18" x14ac:dyDescent="0.25">
      <c r="A1137">
        <v>16</v>
      </c>
      <c r="B1137">
        <v>24</v>
      </c>
      <c r="E1137" s="2">
        <v>45346</v>
      </c>
      <c r="F1137" s="11">
        <f t="shared" si="153"/>
        <v>45346</v>
      </c>
      <c r="G1137">
        <f t="shared" ref="G1137:G1139" si="161">YEAR(E1137)</f>
        <v>2024</v>
      </c>
      <c r="H1137">
        <f t="shared" ref="H1137:H1139" si="162">MONTH(E1137)</f>
        <v>2</v>
      </c>
      <c r="J1137" t="s">
        <v>10</v>
      </c>
      <c r="K1137" t="s">
        <v>8</v>
      </c>
      <c r="L1137" t="s">
        <v>9</v>
      </c>
      <c r="M1137" t="s">
        <v>11</v>
      </c>
      <c r="N1137" t="s">
        <v>27</v>
      </c>
      <c r="O1137" t="s">
        <v>23</v>
      </c>
      <c r="P1137">
        <v>20</v>
      </c>
      <c r="Q1137" t="s">
        <v>50</v>
      </c>
      <c r="R1137" t="str">
        <f t="shared" si="154"/>
        <v>16_24___02/24/2024_2024_MonMon_OWC_W_PW_Sip_A_20_Nutri</v>
      </c>
    </row>
    <row r="1138" spans="1:18" x14ac:dyDescent="0.25">
      <c r="A1138">
        <v>16</v>
      </c>
      <c r="B1138">
        <v>25</v>
      </c>
      <c r="E1138" s="2">
        <v>45346</v>
      </c>
      <c r="F1138" s="11">
        <f t="shared" si="153"/>
        <v>45346</v>
      </c>
      <c r="G1138">
        <f t="shared" si="161"/>
        <v>2024</v>
      </c>
      <c r="H1138">
        <f t="shared" si="162"/>
        <v>2</v>
      </c>
      <c r="J1138" t="s">
        <v>10</v>
      </c>
      <c r="K1138" t="s">
        <v>8</v>
      </c>
      <c r="L1138" t="s">
        <v>9</v>
      </c>
      <c r="M1138" t="s">
        <v>11</v>
      </c>
      <c r="N1138" t="s">
        <v>27</v>
      </c>
      <c r="O1138" t="s">
        <v>23</v>
      </c>
      <c r="P1138">
        <v>45</v>
      </c>
      <c r="Q1138" t="s">
        <v>50</v>
      </c>
      <c r="R1138" t="str">
        <f t="shared" si="154"/>
        <v>16_25___02/24/2024_2024_MonMon_OWC_W_PW_Sip_A_45_Nutri</v>
      </c>
    </row>
    <row r="1139" spans="1:18" x14ac:dyDescent="0.25">
      <c r="A1139">
        <v>16</v>
      </c>
      <c r="B1139">
        <v>26</v>
      </c>
      <c r="E1139" s="2">
        <v>45346</v>
      </c>
      <c r="F1139" s="11">
        <f t="shared" si="153"/>
        <v>45346</v>
      </c>
      <c r="G1139">
        <f t="shared" si="161"/>
        <v>2024</v>
      </c>
      <c r="H1139">
        <f t="shared" si="162"/>
        <v>2</v>
      </c>
      <c r="J1139" t="s">
        <v>10</v>
      </c>
      <c r="K1139" t="s">
        <v>8</v>
      </c>
      <c r="L1139" t="s">
        <v>9</v>
      </c>
      <c r="M1139" t="s">
        <v>11</v>
      </c>
      <c r="N1139" t="s">
        <v>27</v>
      </c>
      <c r="O1139" t="s">
        <v>24</v>
      </c>
      <c r="P1139">
        <v>10</v>
      </c>
      <c r="Q1139" t="s">
        <v>50</v>
      </c>
      <c r="R1139" t="str">
        <f t="shared" si="154"/>
        <v>16_26___02/24/2024_2024_MonMon_OWC_W_PW_Sip_B_10_Nutri</v>
      </c>
    </row>
    <row r="1140" spans="1:18" x14ac:dyDescent="0.25">
      <c r="A1140">
        <v>16</v>
      </c>
      <c r="B1140">
        <v>27</v>
      </c>
      <c r="E1140" s="2">
        <v>45346</v>
      </c>
      <c r="F1140" s="11">
        <f t="shared" si="153"/>
        <v>45346</v>
      </c>
      <c r="G1140">
        <f t="shared" ref="G1140:G1168" si="163">YEAR(E1140)</f>
        <v>2024</v>
      </c>
      <c r="H1140">
        <f t="shared" ref="H1140:H1168" si="164">MONTH(E1140)</f>
        <v>2</v>
      </c>
      <c r="J1140" t="s">
        <v>10</v>
      </c>
      <c r="K1140" t="s">
        <v>8</v>
      </c>
      <c r="L1140" t="s">
        <v>9</v>
      </c>
      <c r="M1140" t="s">
        <v>11</v>
      </c>
      <c r="N1140" t="s">
        <v>27</v>
      </c>
      <c r="O1140" t="s">
        <v>24</v>
      </c>
      <c r="P1140">
        <v>10</v>
      </c>
      <c r="Q1140" t="s">
        <v>50</v>
      </c>
      <c r="R1140" t="str">
        <f t="shared" si="154"/>
        <v>16_27___02/24/2024_2024_MonMon_OWC_W_PW_Sip_B_10_Nutri</v>
      </c>
    </row>
    <row r="1141" spans="1:18" x14ac:dyDescent="0.25">
      <c r="A1141">
        <v>16</v>
      </c>
      <c r="B1141">
        <v>28</v>
      </c>
      <c r="E1141" s="2">
        <v>45346</v>
      </c>
      <c r="F1141" s="11">
        <f t="shared" si="153"/>
        <v>45346</v>
      </c>
      <c r="G1141">
        <f t="shared" si="163"/>
        <v>2024</v>
      </c>
      <c r="H1141">
        <f t="shared" si="164"/>
        <v>2</v>
      </c>
      <c r="J1141" t="s">
        <v>10</v>
      </c>
      <c r="K1141" t="s">
        <v>8</v>
      </c>
      <c r="L1141" t="s">
        <v>9</v>
      </c>
      <c r="M1141" t="s">
        <v>11</v>
      </c>
      <c r="N1141" t="s">
        <v>27</v>
      </c>
      <c r="O1141" t="s">
        <v>24</v>
      </c>
      <c r="P1141">
        <v>20</v>
      </c>
      <c r="Q1141" t="s">
        <v>50</v>
      </c>
      <c r="R1141" t="str">
        <f t="shared" si="154"/>
        <v>16_28___02/24/2024_2024_MonMon_OWC_W_PW_Sip_B_20_Nutri</v>
      </c>
    </row>
    <row r="1142" spans="1:18" x14ac:dyDescent="0.25">
      <c r="A1142">
        <v>16</v>
      </c>
      <c r="B1142">
        <v>29</v>
      </c>
      <c r="E1142" s="2">
        <v>45346</v>
      </c>
      <c r="F1142" s="11">
        <f t="shared" si="153"/>
        <v>45346</v>
      </c>
      <c r="G1142">
        <f t="shared" si="163"/>
        <v>2024</v>
      </c>
      <c r="H1142">
        <f t="shared" si="164"/>
        <v>2</v>
      </c>
      <c r="J1142" t="s">
        <v>10</v>
      </c>
      <c r="K1142" t="s">
        <v>8</v>
      </c>
      <c r="L1142" t="s">
        <v>9</v>
      </c>
      <c r="M1142" t="s">
        <v>11</v>
      </c>
      <c r="N1142" t="s">
        <v>27</v>
      </c>
      <c r="O1142" t="s">
        <v>24</v>
      </c>
      <c r="P1142">
        <v>45</v>
      </c>
      <c r="Q1142" t="s">
        <v>50</v>
      </c>
      <c r="R1142" t="str">
        <f t="shared" si="154"/>
        <v>16_29___02/24/2024_2024_MonMon_OWC_W_PW_Sip_B_45_Nutri</v>
      </c>
    </row>
    <row r="1143" spans="1:18" x14ac:dyDescent="0.25">
      <c r="A1143">
        <v>16</v>
      </c>
      <c r="B1143">
        <v>30</v>
      </c>
      <c r="E1143" s="2">
        <v>45346</v>
      </c>
      <c r="F1143" s="11">
        <f t="shared" si="153"/>
        <v>45346</v>
      </c>
      <c r="G1143">
        <f t="shared" si="163"/>
        <v>2024</v>
      </c>
      <c r="H1143">
        <f t="shared" si="164"/>
        <v>2</v>
      </c>
      <c r="J1143" t="s">
        <v>10</v>
      </c>
      <c r="K1143" t="s">
        <v>8</v>
      </c>
      <c r="L1143" t="s">
        <v>9</v>
      </c>
      <c r="M1143" t="s">
        <v>11</v>
      </c>
      <c r="N1143" t="s">
        <v>27</v>
      </c>
      <c r="O1143" t="s">
        <v>25</v>
      </c>
      <c r="P1143">
        <v>10</v>
      </c>
      <c r="Q1143" t="s">
        <v>50</v>
      </c>
      <c r="R1143" t="str">
        <f t="shared" si="154"/>
        <v>16_30___02/24/2024_2024_MonMon_OWC_W_PW_Sip_C_10_Nutri</v>
      </c>
    </row>
    <row r="1144" spans="1:18" x14ac:dyDescent="0.25">
      <c r="A1144">
        <v>16</v>
      </c>
      <c r="B1144">
        <v>31</v>
      </c>
      <c r="E1144" s="2">
        <v>45346</v>
      </c>
      <c r="F1144" s="11">
        <f t="shared" si="153"/>
        <v>45346</v>
      </c>
      <c r="G1144">
        <f t="shared" si="163"/>
        <v>2024</v>
      </c>
      <c r="H1144">
        <f t="shared" si="164"/>
        <v>2</v>
      </c>
      <c r="J1144" t="s">
        <v>10</v>
      </c>
      <c r="K1144" t="s">
        <v>8</v>
      </c>
      <c r="L1144" t="s">
        <v>9</v>
      </c>
      <c r="M1144" t="s">
        <v>11</v>
      </c>
      <c r="N1144" t="s">
        <v>27</v>
      </c>
      <c r="O1144" t="s">
        <v>25</v>
      </c>
      <c r="P1144">
        <v>20</v>
      </c>
      <c r="Q1144" t="s">
        <v>50</v>
      </c>
      <c r="R1144" t="str">
        <f t="shared" si="154"/>
        <v>16_31___02/24/2024_2024_MonMon_OWC_W_PW_Sip_C_20_Nutri</v>
      </c>
    </row>
    <row r="1145" spans="1:18" x14ac:dyDescent="0.25">
      <c r="A1145">
        <v>16</v>
      </c>
      <c r="B1145">
        <v>32</v>
      </c>
      <c r="E1145" s="2">
        <v>45346</v>
      </c>
      <c r="F1145" s="11">
        <f t="shared" si="153"/>
        <v>45346</v>
      </c>
      <c r="G1145">
        <f t="shared" si="163"/>
        <v>2024</v>
      </c>
      <c r="H1145">
        <f t="shared" si="164"/>
        <v>2</v>
      </c>
      <c r="J1145" t="s">
        <v>10</v>
      </c>
      <c r="K1145" t="s">
        <v>8</v>
      </c>
      <c r="L1145" t="s">
        <v>9</v>
      </c>
      <c r="M1145" t="s">
        <v>11</v>
      </c>
      <c r="N1145" t="s">
        <v>27</v>
      </c>
      <c r="O1145" t="s">
        <v>25</v>
      </c>
      <c r="P1145">
        <v>45</v>
      </c>
      <c r="Q1145" t="s">
        <v>50</v>
      </c>
      <c r="R1145" t="str">
        <f t="shared" si="154"/>
        <v>16_32___02/24/2024_2024_MonMon_OWC_W_PW_Sip_C_45_Nutri</v>
      </c>
    </row>
    <row r="1146" spans="1:18" x14ac:dyDescent="0.25">
      <c r="A1146">
        <v>16</v>
      </c>
      <c r="B1146">
        <v>33</v>
      </c>
      <c r="E1146" s="2">
        <v>45346</v>
      </c>
      <c r="F1146" s="11">
        <f t="shared" si="153"/>
        <v>45346</v>
      </c>
      <c r="G1146">
        <f t="shared" si="163"/>
        <v>2024</v>
      </c>
      <c r="H1146">
        <f t="shared" si="164"/>
        <v>2</v>
      </c>
      <c r="J1146" t="s">
        <v>10</v>
      </c>
      <c r="K1146" t="s">
        <v>8</v>
      </c>
      <c r="L1146" t="s">
        <v>14</v>
      </c>
      <c r="M1146" t="s">
        <v>11</v>
      </c>
      <c r="N1146" t="s">
        <v>15</v>
      </c>
      <c r="O1146" t="s">
        <v>23</v>
      </c>
      <c r="P1146">
        <v>10</v>
      </c>
      <c r="Q1146" t="s">
        <v>50</v>
      </c>
      <c r="R1146" t="str">
        <f t="shared" si="154"/>
        <v>16_33___02/24/2024_2024_MonMon_OWC_TR_PW_Lys_A_10_Nutri</v>
      </c>
    </row>
    <row r="1147" spans="1:18" x14ac:dyDescent="0.25">
      <c r="A1147">
        <v>16</v>
      </c>
      <c r="B1147">
        <v>34</v>
      </c>
      <c r="E1147" s="2">
        <v>45346</v>
      </c>
      <c r="F1147" s="11">
        <f t="shared" si="153"/>
        <v>45346</v>
      </c>
      <c r="G1147">
        <f t="shared" si="163"/>
        <v>2024</v>
      </c>
      <c r="H1147">
        <f t="shared" si="164"/>
        <v>2</v>
      </c>
      <c r="J1147" t="s">
        <v>10</v>
      </c>
      <c r="K1147" t="s">
        <v>8</v>
      </c>
      <c r="L1147" t="s">
        <v>14</v>
      </c>
      <c r="M1147" t="s">
        <v>11</v>
      </c>
      <c r="N1147" t="s">
        <v>15</v>
      </c>
      <c r="O1147" t="s">
        <v>23</v>
      </c>
      <c r="P1147">
        <v>20</v>
      </c>
      <c r="Q1147" t="s">
        <v>50</v>
      </c>
      <c r="R1147" t="str">
        <f t="shared" si="154"/>
        <v>16_34___02/24/2024_2024_MonMon_OWC_TR_PW_Lys_A_20_Nutri</v>
      </c>
    </row>
    <row r="1148" spans="1:18" x14ac:dyDescent="0.25">
      <c r="A1148">
        <v>16</v>
      </c>
      <c r="B1148">
        <v>35</v>
      </c>
      <c r="E1148" s="2">
        <v>45346</v>
      </c>
      <c r="F1148" s="11">
        <f t="shared" si="153"/>
        <v>45346</v>
      </c>
      <c r="G1148">
        <f t="shared" si="163"/>
        <v>2024</v>
      </c>
      <c r="H1148">
        <f t="shared" si="164"/>
        <v>2</v>
      </c>
      <c r="J1148" t="s">
        <v>10</v>
      </c>
      <c r="K1148" t="s">
        <v>8</v>
      </c>
      <c r="L1148" t="s">
        <v>14</v>
      </c>
      <c r="M1148" t="s">
        <v>11</v>
      </c>
      <c r="N1148" t="s">
        <v>15</v>
      </c>
      <c r="O1148" t="s">
        <v>23</v>
      </c>
      <c r="P1148">
        <v>45</v>
      </c>
      <c r="Q1148" t="s">
        <v>50</v>
      </c>
      <c r="R1148" t="str">
        <f t="shared" si="154"/>
        <v>16_35___02/24/2024_2024_MonMon_OWC_TR_PW_Lys_A_45_Nutri</v>
      </c>
    </row>
    <row r="1149" spans="1:18" x14ac:dyDescent="0.25">
      <c r="A1149">
        <v>16</v>
      </c>
      <c r="B1149">
        <v>36</v>
      </c>
      <c r="E1149" s="2">
        <v>45346</v>
      </c>
      <c r="F1149" s="11">
        <f t="shared" si="153"/>
        <v>45346</v>
      </c>
      <c r="G1149">
        <f t="shared" si="163"/>
        <v>2024</v>
      </c>
      <c r="H1149">
        <f t="shared" si="164"/>
        <v>2</v>
      </c>
      <c r="J1149" t="s">
        <v>10</v>
      </c>
      <c r="K1149" t="s">
        <v>8</v>
      </c>
      <c r="L1149" t="s">
        <v>14</v>
      </c>
      <c r="M1149" t="s">
        <v>11</v>
      </c>
      <c r="N1149" t="s">
        <v>15</v>
      </c>
      <c r="O1149" t="s">
        <v>24</v>
      </c>
      <c r="P1149">
        <v>10</v>
      </c>
      <c r="Q1149" t="s">
        <v>50</v>
      </c>
      <c r="R1149" t="str">
        <f t="shared" si="154"/>
        <v>16_36___02/24/2024_2024_MonMon_OWC_TR_PW_Lys_B_10_Nutri</v>
      </c>
    </row>
    <row r="1150" spans="1:18" x14ac:dyDescent="0.25">
      <c r="A1150">
        <v>16</v>
      </c>
      <c r="B1150">
        <v>37</v>
      </c>
      <c r="E1150" s="2">
        <v>45346</v>
      </c>
      <c r="F1150" s="11">
        <f t="shared" si="153"/>
        <v>45346</v>
      </c>
      <c r="G1150">
        <f t="shared" si="163"/>
        <v>2024</v>
      </c>
      <c r="H1150">
        <f t="shared" si="164"/>
        <v>2</v>
      </c>
      <c r="J1150" t="s">
        <v>10</v>
      </c>
      <c r="K1150" t="s">
        <v>8</v>
      </c>
      <c r="L1150" t="s">
        <v>14</v>
      </c>
      <c r="M1150" t="s">
        <v>11</v>
      </c>
      <c r="N1150" t="s">
        <v>15</v>
      </c>
      <c r="O1150" t="s">
        <v>24</v>
      </c>
      <c r="P1150">
        <v>20</v>
      </c>
      <c r="Q1150" t="s">
        <v>50</v>
      </c>
      <c r="R1150" t="str">
        <f t="shared" si="154"/>
        <v>16_37___02/24/2024_2024_MonMon_OWC_TR_PW_Lys_B_20_Nutri</v>
      </c>
    </row>
    <row r="1151" spans="1:18" x14ac:dyDescent="0.25">
      <c r="A1151">
        <v>16</v>
      </c>
      <c r="B1151">
        <v>38</v>
      </c>
      <c r="E1151" s="2">
        <v>45346</v>
      </c>
      <c r="F1151" s="11">
        <f t="shared" si="153"/>
        <v>45346</v>
      </c>
      <c r="G1151">
        <f t="shared" si="163"/>
        <v>2024</v>
      </c>
      <c r="H1151">
        <f t="shared" si="164"/>
        <v>2</v>
      </c>
      <c r="J1151" t="s">
        <v>10</v>
      </c>
      <c r="K1151" t="s">
        <v>8</v>
      </c>
      <c r="L1151" t="s">
        <v>14</v>
      </c>
      <c r="M1151" t="s">
        <v>11</v>
      </c>
      <c r="N1151" t="s">
        <v>15</v>
      </c>
      <c r="O1151" t="s">
        <v>24</v>
      </c>
      <c r="P1151">
        <v>45</v>
      </c>
      <c r="Q1151" t="s">
        <v>50</v>
      </c>
      <c r="R1151" t="str">
        <f t="shared" si="154"/>
        <v>16_38___02/24/2024_2024_MonMon_OWC_TR_PW_Lys_B_45_Nutri</v>
      </c>
    </row>
    <row r="1152" spans="1:18" x14ac:dyDescent="0.25">
      <c r="A1152">
        <v>16</v>
      </c>
      <c r="B1152">
        <v>39</v>
      </c>
      <c r="E1152" s="2">
        <v>45346</v>
      </c>
      <c r="F1152" s="11">
        <f t="shared" si="153"/>
        <v>45346</v>
      </c>
      <c r="G1152">
        <f t="shared" si="163"/>
        <v>2024</v>
      </c>
      <c r="H1152">
        <f t="shared" si="164"/>
        <v>2</v>
      </c>
      <c r="J1152" t="s">
        <v>10</v>
      </c>
      <c r="K1152" t="s">
        <v>8</v>
      </c>
      <c r="L1152" t="s">
        <v>14</v>
      </c>
      <c r="M1152" t="s">
        <v>11</v>
      </c>
      <c r="N1152" t="s">
        <v>15</v>
      </c>
      <c r="O1152" t="s">
        <v>25</v>
      </c>
      <c r="P1152">
        <v>10</v>
      </c>
      <c r="Q1152" t="s">
        <v>50</v>
      </c>
      <c r="R1152" t="str">
        <f t="shared" si="154"/>
        <v>16_39___02/24/2024_2024_MonMon_OWC_TR_PW_Lys_C_10_Nutri</v>
      </c>
    </row>
    <row r="1153" spans="1:18" x14ac:dyDescent="0.25">
      <c r="A1153">
        <v>16</v>
      </c>
      <c r="B1153">
        <v>40</v>
      </c>
      <c r="E1153" s="2">
        <v>45346</v>
      </c>
      <c r="F1153" s="11">
        <f t="shared" si="153"/>
        <v>45346</v>
      </c>
      <c r="G1153">
        <f t="shared" si="163"/>
        <v>2024</v>
      </c>
      <c r="H1153">
        <f t="shared" si="164"/>
        <v>2</v>
      </c>
      <c r="J1153" t="s">
        <v>10</v>
      </c>
      <c r="K1153" t="s">
        <v>8</v>
      </c>
      <c r="L1153" t="s">
        <v>14</v>
      </c>
      <c r="M1153" t="s">
        <v>11</v>
      </c>
      <c r="N1153" t="s">
        <v>15</v>
      </c>
      <c r="O1153" t="s">
        <v>25</v>
      </c>
      <c r="P1153">
        <v>20</v>
      </c>
      <c r="Q1153" t="s">
        <v>50</v>
      </c>
      <c r="R1153" t="str">
        <f t="shared" si="154"/>
        <v>16_40___02/24/2024_2024_MonMon_OWC_TR_PW_Lys_C_20_Nutri</v>
      </c>
    </row>
    <row r="1154" spans="1:18" x14ac:dyDescent="0.25">
      <c r="A1154">
        <v>16</v>
      </c>
      <c r="B1154">
        <v>41</v>
      </c>
      <c r="E1154" s="2">
        <v>45346</v>
      </c>
      <c r="F1154" s="11">
        <f t="shared" si="153"/>
        <v>45346</v>
      </c>
      <c r="G1154">
        <f t="shared" si="163"/>
        <v>2024</v>
      </c>
      <c r="H1154">
        <f t="shared" si="164"/>
        <v>2</v>
      </c>
      <c r="J1154" t="s">
        <v>10</v>
      </c>
      <c r="K1154" t="s">
        <v>8</v>
      </c>
      <c r="L1154" t="s">
        <v>14</v>
      </c>
      <c r="M1154" t="s">
        <v>11</v>
      </c>
      <c r="N1154" t="s">
        <v>15</v>
      </c>
      <c r="O1154" t="s">
        <v>25</v>
      </c>
      <c r="P1154">
        <v>45</v>
      </c>
      <c r="Q1154" t="s">
        <v>50</v>
      </c>
      <c r="R1154" t="str">
        <f t="shared" si="154"/>
        <v>16_41___02/24/2024_2024_MonMon_OWC_TR_PW_Lys_C_45_Nutri</v>
      </c>
    </row>
    <row r="1155" spans="1:18" x14ac:dyDescent="0.25">
      <c r="A1155">
        <v>16</v>
      </c>
      <c r="B1155">
        <v>42</v>
      </c>
      <c r="E1155" s="2">
        <v>45346</v>
      </c>
      <c r="F1155" s="11">
        <f t="shared" ref="F1155:F1218" si="165">E1155</f>
        <v>45346</v>
      </c>
      <c r="G1155">
        <f t="shared" si="163"/>
        <v>2024</v>
      </c>
      <c r="H1155">
        <f t="shared" si="164"/>
        <v>2</v>
      </c>
      <c r="J1155" t="s">
        <v>10</v>
      </c>
      <c r="K1155" t="s">
        <v>8</v>
      </c>
      <c r="L1155" t="s">
        <v>17</v>
      </c>
      <c r="M1155" t="s">
        <v>11</v>
      </c>
      <c r="N1155" t="s">
        <v>15</v>
      </c>
      <c r="O1155" t="s">
        <v>23</v>
      </c>
      <c r="P1155">
        <v>10</v>
      </c>
      <c r="Q1155" t="s">
        <v>50</v>
      </c>
      <c r="R1155" t="str">
        <f t="shared" ref="R1155:R1218" si="166">CONCATENATE(A1155,"_",B1155,"_", C1155,"_",D1155,"_",TEXT(E1155, "mm/dd/yyyy"),"_",G1155,"_",J1155,"_",K1155,"_",L1155,"_",M1155,"_",N1155,"_",O1155,"_",P1155,"_",Q1155)</f>
        <v>16_42___02/24/2024_2024_MonMon_OWC_UP_PW_Lys_A_10_Nutri</v>
      </c>
    </row>
    <row r="1156" spans="1:18" x14ac:dyDescent="0.25">
      <c r="A1156">
        <v>16</v>
      </c>
      <c r="B1156">
        <v>43</v>
      </c>
      <c r="E1156" s="2">
        <v>45346</v>
      </c>
      <c r="F1156" s="11">
        <f t="shared" si="165"/>
        <v>45346</v>
      </c>
      <c r="G1156">
        <f t="shared" si="163"/>
        <v>2024</v>
      </c>
      <c r="H1156">
        <f t="shared" si="164"/>
        <v>2</v>
      </c>
      <c r="J1156" t="s">
        <v>10</v>
      </c>
      <c r="K1156" t="s">
        <v>8</v>
      </c>
      <c r="L1156" t="s">
        <v>17</v>
      </c>
      <c r="M1156" t="s">
        <v>11</v>
      </c>
      <c r="N1156" t="s">
        <v>15</v>
      </c>
      <c r="O1156" t="s">
        <v>23</v>
      </c>
      <c r="P1156">
        <v>45</v>
      </c>
      <c r="Q1156" t="s">
        <v>50</v>
      </c>
      <c r="R1156" t="str">
        <f t="shared" si="166"/>
        <v>16_43___02/24/2024_2024_MonMon_OWC_UP_PW_Lys_A_45_Nutri</v>
      </c>
    </row>
    <row r="1157" spans="1:18" x14ac:dyDescent="0.25">
      <c r="A1157">
        <v>16</v>
      </c>
      <c r="B1157">
        <v>44</v>
      </c>
      <c r="E1157" s="2">
        <v>45346</v>
      </c>
      <c r="F1157" s="11">
        <f t="shared" si="165"/>
        <v>45346</v>
      </c>
      <c r="G1157">
        <f t="shared" si="163"/>
        <v>2024</v>
      </c>
      <c r="H1157">
        <f t="shared" si="164"/>
        <v>2</v>
      </c>
      <c r="J1157" t="s">
        <v>10</v>
      </c>
      <c r="K1157" t="s">
        <v>8</v>
      </c>
      <c r="L1157" t="s">
        <v>17</v>
      </c>
      <c r="M1157" t="s">
        <v>11</v>
      </c>
      <c r="N1157" t="s">
        <v>15</v>
      </c>
      <c r="O1157" t="s">
        <v>24</v>
      </c>
      <c r="P1157">
        <v>45</v>
      </c>
      <c r="Q1157" t="s">
        <v>50</v>
      </c>
      <c r="R1157" t="str">
        <f t="shared" si="166"/>
        <v>16_44___02/24/2024_2024_MonMon_OWC_UP_PW_Lys_B_45_Nutri</v>
      </c>
    </row>
    <row r="1158" spans="1:18" x14ac:dyDescent="0.25">
      <c r="A1158">
        <v>16</v>
      </c>
      <c r="B1158">
        <v>45</v>
      </c>
      <c r="E1158" s="2">
        <v>45346</v>
      </c>
      <c r="F1158" s="11">
        <f t="shared" si="165"/>
        <v>45346</v>
      </c>
      <c r="G1158">
        <f t="shared" si="163"/>
        <v>2024</v>
      </c>
      <c r="H1158">
        <f t="shared" si="164"/>
        <v>2</v>
      </c>
      <c r="J1158" t="s">
        <v>10</v>
      </c>
      <c r="K1158" t="s">
        <v>8</v>
      </c>
      <c r="L1158" t="s">
        <v>17</v>
      </c>
      <c r="M1158" t="s">
        <v>11</v>
      </c>
      <c r="N1158" t="s">
        <v>15</v>
      </c>
      <c r="O1158" t="s">
        <v>25</v>
      </c>
      <c r="P1158">
        <v>10</v>
      </c>
      <c r="Q1158" t="s">
        <v>50</v>
      </c>
      <c r="R1158" t="str">
        <f t="shared" si="166"/>
        <v>16_45___02/24/2024_2024_MonMon_OWC_UP_PW_Lys_C_10_Nutri</v>
      </c>
    </row>
    <row r="1159" spans="1:18" x14ac:dyDescent="0.25">
      <c r="A1159">
        <v>16</v>
      </c>
      <c r="B1159">
        <v>46</v>
      </c>
      <c r="E1159" s="2">
        <v>45346</v>
      </c>
      <c r="F1159" s="11">
        <f t="shared" si="165"/>
        <v>45346</v>
      </c>
      <c r="G1159">
        <f t="shared" si="163"/>
        <v>2024</v>
      </c>
      <c r="H1159">
        <f t="shared" si="164"/>
        <v>2</v>
      </c>
      <c r="J1159" t="s">
        <v>10</v>
      </c>
      <c r="K1159" t="s">
        <v>8</v>
      </c>
      <c r="L1159" t="s">
        <v>17</v>
      </c>
      <c r="M1159" t="s">
        <v>11</v>
      </c>
      <c r="N1159" t="s">
        <v>15</v>
      </c>
      <c r="O1159" t="s">
        <v>25</v>
      </c>
      <c r="P1159">
        <v>20</v>
      </c>
      <c r="Q1159" t="s">
        <v>50</v>
      </c>
      <c r="R1159" t="str">
        <f t="shared" si="166"/>
        <v>16_46___02/24/2024_2024_MonMon_OWC_UP_PW_Lys_C_20_Nutri</v>
      </c>
    </row>
    <row r="1160" spans="1:18" x14ac:dyDescent="0.25">
      <c r="A1160">
        <v>16</v>
      </c>
      <c r="B1160">
        <v>47</v>
      </c>
      <c r="E1160" s="2">
        <v>45346</v>
      </c>
      <c r="F1160" s="11">
        <f t="shared" si="165"/>
        <v>45346</v>
      </c>
      <c r="G1160">
        <f t="shared" si="163"/>
        <v>2024</v>
      </c>
      <c r="H1160">
        <f t="shared" si="164"/>
        <v>2</v>
      </c>
      <c r="J1160" t="s">
        <v>10</v>
      </c>
      <c r="K1160" t="s">
        <v>8</v>
      </c>
      <c r="L1160" t="s">
        <v>9</v>
      </c>
      <c r="M1160" t="s">
        <v>33</v>
      </c>
      <c r="N1160" t="s">
        <v>27</v>
      </c>
      <c r="O1160" t="s">
        <v>23</v>
      </c>
      <c r="Q1160" t="s">
        <v>50</v>
      </c>
      <c r="R1160" t="str">
        <f t="shared" si="166"/>
        <v>16_47___02/24/2024_2024_MonMon_OWC_W_GW_Sip_A__Nutri</v>
      </c>
    </row>
    <row r="1161" spans="1:18" x14ac:dyDescent="0.25">
      <c r="A1161">
        <v>16</v>
      </c>
      <c r="B1161">
        <v>48</v>
      </c>
      <c r="E1161" s="2">
        <v>45346</v>
      </c>
      <c r="F1161" s="11">
        <f t="shared" si="165"/>
        <v>45346</v>
      </c>
      <c r="G1161">
        <f t="shared" si="163"/>
        <v>2024</v>
      </c>
      <c r="H1161">
        <f t="shared" si="164"/>
        <v>2</v>
      </c>
      <c r="J1161" t="s">
        <v>10</v>
      </c>
      <c r="K1161" t="s">
        <v>8</v>
      </c>
      <c r="L1161" t="s">
        <v>9</v>
      </c>
      <c r="M1161" t="s">
        <v>33</v>
      </c>
      <c r="N1161" t="s">
        <v>27</v>
      </c>
      <c r="O1161" t="s">
        <v>24</v>
      </c>
      <c r="Q1161" t="s">
        <v>50</v>
      </c>
      <c r="R1161" t="str">
        <f t="shared" si="166"/>
        <v>16_48___02/24/2024_2024_MonMon_OWC_W_GW_Sip_B__Nutri</v>
      </c>
    </row>
    <row r="1162" spans="1:18" x14ac:dyDescent="0.25">
      <c r="A1162">
        <v>16</v>
      </c>
      <c r="B1162">
        <v>49</v>
      </c>
      <c r="E1162" s="2">
        <v>45346</v>
      </c>
      <c r="F1162" s="11">
        <f t="shared" si="165"/>
        <v>45346</v>
      </c>
      <c r="G1162">
        <f t="shared" si="163"/>
        <v>2024</v>
      </c>
      <c r="H1162">
        <f t="shared" si="164"/>
        <v>2</v>
      </c>
      <c r="J1162" t="s">
        <v>10</v>
      </c>
      <c r="K1162" t="s">
        <v>8</v>
      </c>
      <c r="L1162" t="s">
        <v>9</v>
      </c>
      <c r="M1162" t="s">
        <v>33</v>
      </c>
      <c r="N1162" t="s">
        <v>27</v>
      </c>
      <c r="O1162" t="s">
        <v>25</v>
      </c>
      <c r="Q1162" t="s">
        <v>50</v>
      </c>
      <c r="R1162" t="str">
        <f t="shared" si="166"/>
        <v>16_49___02/24/2024_2024_MonMon_OWC_W_GW_Sip_C__Nutri</v>
      </c>
    </row>
    <row r="1163" spans="1:18" x14ac:dyDescent="0.25">
      <c r="A1163">
        <v>16</v>
      </c>
      <c r="B1163">
        <v>50</v>
      </c>
      <c r="E1163" s="2">
        <v>45346</v>
      </c>
      <c r="F1163" s="11">
        <f t="shared" si="165"/>
        <v>45346</v>
      </c>
      <c r="G1163">
        <f t="shared" si="163"/>
        <v>2024</v>
      </c>
      <c r="H1163">
        <f t="shared" si="164"/>
        <v>2</v>
      </c>
      <c r="J1163" t="s">
        <v>10</v>
      </c>
      <c r="K1163" t="s">
        <v>8</v>
      </c>
      <c r="L1163" t="s">
        <v>14</v>
      </c>
      <c r="M1163" t="s">
        <v>33</v>
      </c>
      <c r="N1163" t="s">
        <v>27</v>
      </c>
      <c r="O1163" t="s">
        <v>23</v>
      </c>
      <c r="Q1163" t="s">
        <v>50</v>
      </c>
      <c r="R1163" t="str">
        <f t="shared" si="166"/>
        <v>16_50___02/24/2024_2024_MonMon_OWC_TR_GW_Sip_A__Nutri</v>
      </c>
    </row>
    <row r="1164" spans="1:18" x14ac:dyDescent="0.25">
      <c r="A1164">
        <v>16</v>
      </c>
      <c r="B1164">
        <v>51</v>
      </c>
      <c r="E1164" s="2">
        <v>45346</v>
      </c>
      <c r="F1164" s="11">
        <f t="shared" si="165"/>
        <v>45346</v>
      </c>
      <c r="G1164">
        <f t="shared" si="163"/>
        <v>2024</v>
      </c>
      <c r="H1164">
        <f t="shared" si="164"/>
        <v>2</v>
      </c>
      <c r="J1164" t="s">
        <v>10</v>
      </c>
      <c r="K1164" t="s">
        <v>8</v>
      </c>
      <c r="L1164" t="s">
        <v>14</v>
      </c>
      <c r="M1164" t="s">
        <v>33</v>
      </c>
      <c r="N1164" t="s">
        <v>27</v>
      </c>
      <c r="O1164" t="s">
        <v>24</v>
      </c>
      <c r="Q1164" t="s">
        <v>50</v>
      </c>
      <c r="R1164" t="str">
        <f t="shared" si="166"/>
        <v>16_51___02/24/2024_2024_MonMon_OWC_TR_GW_Sip_B__Nutri</v>
      </c>
    </row>
    <row r="1165" spans="1:18" x14ac:dyDescent="0.25">
      <c r="A1165">
        <v>16</v>
      </c>
      <c r="B1165">
        <v>52</v>
      </c>
      <c r="E1165" s="2">
        <v>45346</v>
      </c>
      <c r="F1165" s="11">
        <f t="shared" si="165"/>
        <v>45346</v>
      </c>
      <c r="G1165">
        <f t="shared" si="163"/>
        <v>2024</v>
      </c>
      <c r="H1165">
        <f t="shared" si="164"/>
        <v>2</v>
      </c>
      <c r="J1165" t="s">
        <v>10</v>
      </c>
      <c r="K1165" t="s">
        <v>8</v>
      </c>
      <c r="L1165" t="s">
        <v>14</v>
      </c>
      <c r="M1165" t="s">
        <v>33</v>
      </c>
      <c r="N1165" t="s">
        <v>27</v>
      </c>
      <c r="O1165" t="s">
        <v>25</v>
      </c>
      <c r="Q1165" t="s">
        <v>50</v>
      </c>
      <c r="R1165" t="str">
        <f t="shared" si="166"/>
        <v>16_52___02/24/2024_2024_MonMon_OWC_TR_GW_Sip_C__Nutri</v>
      </c>
    </row>
    <row r="1166" spans="1:18" x14ac:dyDescent="0.25">
      <c r="A1166">
        <v>16</v>
      </c>
      <c r="B1166">
        <v>53</v>
      </c>
      <c r="E1166" s="2">
        <v>45346</v>
      </c>
      <c r="F1166" s="11">
        <f t="shared" si="165"/>
        <v>45346</v>
      </c>
      <c r="G1166">
        <f t="shared" si="163"/>
        <v>2024</v>
      </c>
      <c r="H1166">
        <f t="shared" si="164"/>
        <v>2</v>
      </c>
      <c r="J1166" t="s">
        <v>10</v>
      </c>
      <c r="K1166" t="s">
        <v>8</v>
      </c>
      <c r="L1166" t="s">
        <v>9</v>
      </c>
      <c r="M1166" t="s">
        <v>29</v>
      </c>
      <c r="N1166" t="s">
        <v>27</v>
      </c>
      <c r="O1166" t="s">
        <v>23</v>
      </c>
      <c r="Q1166" t="s">
        <v>50</v>
      </c>
      <c r="R1166" t="str">
        <f t="shared" si="166"/>
        <v>16_53___02/24/2024_2024_MonMon_OWC_W_Stream_Sip_A__Nutri</v>
      </c>
    </row>
    <row r="1167" spans="1:18" x14ac:dyDescent="0.25">
      <c r="A1167">
        <v>16</v>
      </c>
      <c r="B1167">
        <v>54</v>
      </c>
      <c r="E1167" s="2">
        <v>45346</v>
      </c>
      <c r="F1167" s="11">
        <f t="shared" si="165"/>
        <v>45346</v>
      </c>
      <c r="G1167">
        <f t="shared" si="163"/>
        <v>2024</v>
      </c>
      <c r="H1167">
        <f t="shared" si="164"/>
        <v>2</v>
      </c>
      <c r="J1167" t="s">
        <v>10</v>
      </c>
      <c r="K1167" t="s">
        <v>8</v>
      </c>
      <c r="L1167" t="s">
        <v>9</v>
      </c>
      <c r="M1167" t="s">
        <v>29</v>
      </c>
      <c r="N1167" t="s">
        <v>27</v>
      </c>
      <c r="O1167" t="s">
        <v>24</v>
      </c>
      <c r="Q1167" t="s">
        <v>50</v>
      </c>
      <c r="R1167" t="str">
        <f t="shared" si="166"/>
        <v>16_54___02/24/2024_2024_MonMon_OWC_W_Stream_Sip_B__Nutri</v>
      </c>
    </row>
    <row r="1168" spans="1:18" x14ac:dyDescent="0.25">
      <c r="A1168">
        <v>16</v>
      </c>
      <c r="B1168">
        <v>55</v>
      </c>
      <c r="E1168" s="2">
        <v>45346</v>
      </c>
      <c r="F1168" s="11">
        <f t="shared" si="165"/>
        <v>45346</v>
      </c>
      <c r="G1168">
        <f t="shared" si="163"/>
        <v>2024</v>
      </c>
      <c r="H1168">
        <f t="shared" si="164"/>
        <v>2</v>
      </c>
      <c r="J1168" t="s">
        <v>10</v>
      </c>
      <c r="K1168" t="s">
        <v>8</v>
      </c>
      <c r="L1168" t="s">
        <v>9</v>
      </c>
      <c r="M1168" t="s">
        <v>29</v>
      </c>
      <c r="N1168" t="s">
        <v>27</v>
      </c>
      <c r="O1168" t="s">
        <v>25</v>
      </c>
      <c r="Q1168" t="s">
        <v>50</v>
      </c>
      <c r="R1168" t="str">
        <f t="shared" si="166"/>
        <v>16_55___02/24/2024_2024_MonMon_OWC_W_Stream_Sip_C__Nutri</v>
      </c>
    </row>
    <row r="1169" spans="1:18" x14ac:dyDescent="0.25">
      <c r="A1169">
        <v>16</v>
      </c>
      <c r="B1169">
        <v>56</v>
      </c>
      <c r="E1169" s="2">
        <v>45346</v>
      </c>
      <c r="F1169" s="11">
        <f t="shared" si="165"/>
        <v>45346</v>
      </c>
      <c r="G1169">
        <f t="shared" ref="G1169:G1170" si="167">YEAR(E1169)</f>
        <v>2024</v>
      </c>
      <c r="H1169">
        <f t="shared" ref="H1169:H1170" si="168">MONTH(E1169)</f>
        <v>2</v>
      </c>
      <c r="J1169" t="s">
        <v>10</v>
      </c>
      <c r="K1169" t="s">
        <v>13</v>
      </c>
      <c r="L1169" t="s">
        <v>14</v>
      </c>
      <c r="M1169" t="s">
        <v>11</v>
      </c>
      <c r="N1169" t="s">
        <v>15</v>
      </c>
      <c r="O1169" t="s">
        <v>23</v>
      </c>
      <c r="P1169">
        <v>10</v>
      </c>
      <c r="Q1169" t="s">
        <v>50</v>
      </c>
      <c r="R1169" t="str">
        <f t="shared" si="166"/>
        <v>16_56___02/24/2024_2024_MonMon_PTR_TR_PW_Lys_A_10_Nutri</v>
      </c>
    </row>
    <row r="1170" spans="1:18" x14ac:dyDescent="0.25">
      <c r="A1170">
        <v>16</v>
      </c>
      <c r="B1170">
        <v>57</v>
      </c>
      <c r="E1170" s="2">
        <v>45346</v>
      </c>
      <c r="F1170" s="11">
        <f t="shared" si="165"/>
        <v>45346</v>
      </c>
      <c r="G1170">
        <f t="shared" si="167"/>
        <v>2024</v>
      </c>
      <c r="H1170">
        <f t="shared" si="168"/>
        <v>2</v>
      </c>
      <c r="J1170" t="s">
        <v>10</v>
      </c>
      <c r="K1170" t="s">
        <v>13</v>
      </c>
      <c r="L1170" t="s">
        <v>14</v>
      </c>
      <c r="M1170" t="s">
        <v>11</v>
      </c>
      <c r="N1170" t="s">
        <v>15</v>
      </c>
      <c r="O1170" t="s">
        <v>23</v>
      </c>
      <c r="P1170">
        <v>20</v>
      </c>
      <c r="Q1170" t="s">
        <v>50</v>
      </c>
      <c r="R1170" t="str">
        <f t="shared" si="166"/>
        <v>16_57___02/24/2024_2024_MonMon_PTR_TR_PW_Lys_A_20_Nutri</v>
      </c>
    </row>
    <row r="1171" spans="1:18" x14ac:dyDescent="0.25">
      <c r="A1171">
        <v>16</v>
      </c>
      <c r="B1171">
        <v>58</v>
      </c>
      <c r="E1171" s="2">
        <v>45346</v>
      </c>
      <c r="F1171" s="11">
        <f t="shared" si="165"/>
        <v>45346</v>
      </c>
      <c r="G1171">
        <f t="shared" ref="G1171:G1179" si="169">YEAR(E1171)</f>
        <v>2024</v>
      </c>
      <c r="H1171">
        <f t="shared" ref="H1171:H1179" si="170">MONTH(E1171)</f>
        <v>2</v>
      </c>
      <c r="J1171" t="s">
        <v>10</v>
      </c>
      <c r="K1171" t="s">
        <v>13</v>
      </c>
      <c r="L1171" t="s">
        <v>14</v>
      </c>
      <c r="M1171" t="s">
        <v>11</v>
      </c>
      <c r="N1171" t="s">
        <v>15</v>
      </c>
      <c r="O1171" t="s">
        <v>23</v>
      </c>
      <c r="P1171">
        <v>45</v>
      </c>
      <c r="Q1171" t="s">
        <v>50</v>
      </c>
      <c r="R1171" t="str">
        <f t="shared" si="166"/>
        <v>16_58___02/24/2024_2024_MonMon_PTR_TR_PW_Lys_A_45_Nutri</v>
      </c>
    </row>
    <row r="1172" spans="1:18" x14ac:dyDescent="0.25">
      <c r="A1172">
        <v>16</v>
      </c>
      <c r="B1172">
        <v>59</v>
      </c>
      <c r="E1172" s="2">
        <v>45346</v>
      </c>
      <c r="F1172" s="11">
        <f t="shared" si="165"/>
        <v>45346</v>
      </c>
      <c r="G1172">
        <f t="shared" si="169"/>
        <v>2024</v>
      </c>
      <c r="H1172">
        <f t="shared" si="170"/>
        <v>2</v>
      </c>
      <c r="J1172" t="s">
        <v>10</v>
      </c>
      <c r="K1172" t="s">
        <v>13</v>
      </c>
      <c r="L1172" t="s">
        <v>14</v>
      </c>
      <c r="M1172" t="s">
        <v>11</v>
      </c>
      <c r="N1172" t="s">
        <v>15</v>
      </c>
      <c r="O1172" t="s">
        <v>24</v>
      </c>
      <c r="P1172">
        <v>10</v>
      </c>
      <c r="Q1172" t="s">
        <v>50</v>
      </c>
      <c r="R1172" t="str">
        <f t="shared" si="166"/>
        <v>16_59___02/24/2024_2024_MonMon_PTR_TR_PW_Lys_B_10_Nutri</v>
      </c>
    </row>
    <row r="1173" spans="1:18" x14ac:dyDescent="0.25">
      <c r="A1173">
        <v>16</v>
      </c>
      <c r="B1173">
        <v>60</v>
      </c>
      <c r="E1173" s="2">
        <v>45346</v>
      </c>
      <c r="F1173" s="11">
        <f t="shared" si="165"/>
        <v>45346</v>
      </c>
      <c r="G1173">
        <f t="shared" si="169"/>
        <v>2024</v>
      </c>
      <c r="H1173">
        <f t="shared" si="170"/>
        <v>2</v>
      </c>
      <c r="J1173" t="s">
        <v>10</v>
      </c>
      <c r="K1173" t="s">
        <v>13</v>
      </c>
      <c r="L1173" t="s">
        <v>14</v>
      </c>
      <c r="M1173" t="s">
        <v>11</v>
      </c>
      <c r="N1173" t="s">
        <v>15</v>
      </c>
      <c r="O1173" t="s">
        <v>24</v>
      </c>
      <c r="P1173">
        <v>20</v>
      </c>
      <c r="Q1173" t="s">
        <v>50</v>
      </c>
      <c r="R1173" t="str">
        <f t="shared" si="166"/>
        <v>16_60___02/24/2024_2024_MonMon_PTR_TR_PW_Lys_B_20_Nutri</v>
      </c>
    </row>
    <row r="1174" spans="1:18" x14ac:dyDescent="0.25">
      <c r="A1174">
        <v>16</v>
      </c>
      <c r="B1174">
        <v>61</v>
      </c>
      <c r="E1174" s="2">
        <v>45346</v>
      </c>
      <c r="F1174" s="11">
        <f t="shared" si="165"/>
        <v>45346</v>
      </c>
      <c r="G1174">
        <f t="shared" si="169"/>
        <v>2024</v>
      </c>
      <c r="H1174">
        <f t="shared" si="170"/>
        <v>2</v>
      </c>
      <c r="J1174" t="s">
        <v>10</v>
      </c>
      <c r="K1174" t="s">
        <v>13</v>
      </c>
      <c r="L1174" t="s">
        <v>14</v>
      </c>
      <c r="M1174" t="s">
        <v>11</v>
      </c>
      <c r="N1174" t="s">
        <v>15</v>
      </c>
      <c r="O1174" t="s">
        <v>24</v>
      </c>
      <c r="P1174">
        <v>45</v>
      </c>
      <c r="Q1174" t="s">
        <v>50</v>
      </c>
      <c r="R1174" t="str">
        <f t="shared" si="166"/>
        <v>16_61___02/24/2024_2024_MonMon_PTR_TR_PW_Lys_B_45_Nutri</v>
      </c>
    </row>
    <row r="1175" spans="1:18" x14ac:dyDescent="0.25">
      <c r="A1175">
        <v>16</v>
      </c>
      <c r="B1175">
        <v>62</v>
      </c>
      <c r="E1175" s="2">
        <v>45346</v>
      </c>
      <c r="F1175" s="11">
        <f t="shared" si="165"/>
        <v>45346</v>
      </c>
      <c r="G1175">
        <f t="shared" si="169"/>
        <v>2024</v>
      </c>
      <c r="H1175">
        <f t="shared" si="170"/>
        <v>2</v>
      </c>
      <c r="J1175" t="s">
        <v>10</v>
      </c>
      <c r="K1175" t="s">
        <v>13</v>
      </c>
      <c r="L1175" t="s">
        <v>14</v>
      </c>
      <c r="M1175" t="s">
        <v>11</v>
      </c>
      <c r="N1175" t="s">
        <v>15</v>
      </c>
      <c r="O1175" t="s">
        <v>25</v>
      </c>
      <c r="P1175">
        <v>10</v>
      </c>
      <c r="Q1175" t="s">
        <v>50</v>
      </c>
      <c r="R1175" t="str">
        <f t="shared" si="166"/>
        <v>16_62___02/24/2024_2024_MonMon_PTR_TR_PW_Lys_C_10_Nutri</v>
      </c>
    </row>
    <row r="1176" spans="1:18" x14ac:dyDescent="0.25">
      <c r="A1176">
        <v>16</v>
      </c>
      <c r="B1176">
        <v>63</v>
      </c>
      <c r="E1176" s="2">
        <v>45346</v>
      </c>
      <c r="F1176" s="11">
        <f t="shared" si="165"/>
        <v>45346</v>
      </c>
      <c r="G1176">
        <f t="shared" si="169"/>
        <v>2024</v>
      </c>
      <c r="H1176">
        <f t="shared" si="170"/>
        <v>2</v>
      </c>
      <c r="J1176" t="s">
        <v>10</v>
      </c>
      <c r="K1176" t="s">
        <v>13</v>
      </c>
      <c r="L1176" t="s">
        <v>14</v>
      </c>
      <c r="M1176" t="s">
        <v>11</v>
      </c>
      <c r="N1176" t="s">
        <v>15</v>
      </c>
      <c r="O1176" t="s">
        <v>25</v>
      </c>
      <c r="P1176">
        <v>20</v>
      </c>
      <c r="Q1176" t="s">
        <v>50</v>
      </c>
      <c r="R1176" t="str">
        <f t="shared" si="166"/>
        <v>16_63___02/24/2024_2024_MonMon_PTR_TR_PW_Lys_C_20_Nutri</v>
      </c>
    </row>
    <row r="1177" spans="1:18" x14ac:dyDescent="0.25">
      <c r="A1177">
        <v>16</v>
      </c>
      <c r="B1177">
        <v>64</v>
      </c>
      <c r="E1177" s="2">
        <v>45346</v>
      </c>
      <c r="F1177" s="11">
        <f t="shared" si="165"/>
        <v>45346</v>
      </c>
      <c r="G1177">
        <f t="shared" si="169"/>
        <v>2024</v>
      </c>
      <c r="H1177">
        <f t="shared" si="170"/>
        <v>2</v>
      </c>
      <c r="J1177" t="s">
        <v>10</v>
      </c>
      <c r="K1177" t="s">
        <v>13</v>
      </c>
      <c r="L1177" t="s">
        <v>14</v>
      </c>
      <c r="M1177" t="s">
        <v>11</v>
      </c>
      <c r="N1177" t="s">
        <v>15</v>
      </c>
      <c r="O1177" t="s">
        <v>25</v>
      </c>
      <c r="P1177">
        <v>45</v>
      </c>
      <c r="Q1177" t="s">
        <v>50</v>
      </c>
      <c r="R1177" t="str">
        <f t="shared" si="166"/>
        <v>16_64___02/24/2024_2024_MonMon_PTR_TR_PW_Lys_C_45_Nutri</v>
      </c>
    </row>
    <row r="1178" spans="1:18" x14ac:dyDescent="0.25">
      <c r="A1178">
        <v>16</v>
      </c>
      <c r="B1178">
        <v>65</v>
      </c>
      <c r="E1178" s="2">
        <v>45346</v>
      </c>
      <c r="F1178" s="11">
        <f t="shared" si="165"/>
        <v>45346</v>
      </c>
      <c r="G1178">
        <f t="shared" si="169"/>
        <v>2024</v>
      </c>
      <c r="H1178">
        <f t="shared" si="170"/>
        <v>2</v>
      </c>
      <c r="J1178" t="s">
        <v>10</v>
      </c>
      <c r="K1178" t="s">
        <v>13</v>
      </c>
      <c r="L1178" t="s">
        <v>17</v>
      </c>
      <c r="M1178" t="s">
        <v>11</v>
      </c>
      <c r="N1178" t="s">
        <v>15</v>
      </c>
      <c r="O1178" t="s">
        <v>23</v>
      </c>
      <c r="P1178">
        <v>10</v>
      </c>
      <c r="Q1178" t="s">
        <v>50</v>
      </c>
      <c r="R1178" t="str">
        <f t="shared" si="166"/>
        <v>16_65___02/24/2024_2024_MonMon_PTR_UP_PW_Lys_A_10_Nutri</v>
      </c>
    </row>
    <row r="1179" spans="1:18" x14ac:dyDescent="0.25">
      <c r="A1179">
        <v>16</v>
      </c>
      <c r="B1179">
        <v>66</v>
      </c>
      <c r="E1179" s="2">
        <v>45346</v>
      </c>
      <c r="F1179" s="11">
        <f t="shared" si="165"/>
        <v>45346</v>
      </c>
      <c r="G1179">
        <f t="shared" si="169"/>
        <v>2024</v>
      </c>
      <c r="H1179">
        <f t="shared" si="170"/>
        <v>2</v>
      </c>
      <c r="J1179" t="s">
        <v>10</v>
      </c>
      <c r="K1179" t="s">
        <v>13</v>
      </c>
      <c r="L1179" t="s">
        <v>17</v>
      </c>
      <c r="M1179" t="s">
        <v>11</v>
      </c>
      <c r="N1179" t="s">
        <v>15</v>
      </c>
      <c r="O1179" t="s">
        <v>25</v>
      </c>
      <c r="P1179">
        <v>10</v>
      </c>
      <c r="Q1179" t="s">
        <v>50</v>
      </c>
      <c r="R1179" t="str">
        <f t="shared" si="166"/>
        <v>16_66___02/24/2024_2024_MonMon_PTR_UP_PW_Lys_C_10_Nutri</v>
      </c>
    </row>
    <row r="1180" spans="1:18" x14ac:dyDescent="0.25">
      <c r="A1180">
        <v>16</v>
      </c>
      <c r="B1180">
        <v>67</v>
      </c>
      <c r="E1180" s="2">
        <v>45406</v>
      </c>
      <c r="F1180" s="11">
        <f t="shared" si="165"/>
        <v>45406</v>
      </c>
      <c r="G1180">
        <f t="shared" ref="G1180:G1181" si="171">YEAR(E1180)</f>
        <v>2024</v>
      </c>
      <c r="H1180">
        <f t="shared" ref="H1180:H1181" si="172">MONTH(E1180)</f>
        <v>4</v>
      </c>
      <c r="J1180" t="s">
        <v>10</v>
      </c>
      <c r="K1180" t="s">
        <v>16</v>
      </c>
      <c r="L1180" t="s">
        <v>9</v>
      </c>
      <c r="M1180" t="s">
        <v>11</v>
      </c>
      <c r="N1180" t="s">
        <v>27</v>
      </c>
      <c r="O1180" t="s">
        <v>23</v>
      </c>
      <c r="P1180">
        <v>10</v>
      </c>
      <c r="Q1180" t="s">
        <v>50</v>
      </c>
      <c r="R1180" t="str">
        <f t="shared" si="166"/>
        <v>16_67___04/24/2024_2024_MonMon_CRC_W_PW_Sip_A_10_Nutri</v>
      </c>
    </row>
    <row r="1181" spans="1:18" x14ac:dyDescent="0.25">
      <c r="A1181">
        <v>16</v>
      </c>
      <c r="B1181">
        <v>68</v>
      </c>
      <c r="E1181" s="2">
        <v>45406</v>
      </c>
      <c r="F1181" s="11">
        <f t="shared" si="165"/>
        <v>45406</v>
      </c>
      <c r="G1181">
        <f t="shared" si="171"/>
        <v>2024</v>
      </c>
      <c r="H1181">
        <f t="shared" si="172"/>
        <v>4</v>
      </c>
      <c r="J1181" t="s">
        <v>10</v>
      </c>
      <c r="K1181" t="s">
        <v>16</v>
      </c>
      <c r="L1181" t="s">
        <v>9</v>
      </c>
      <c r="M1181" t="s">
        <v>11</v>
      </c>
      <c r="N1181" t="s">
        <v>27</v>
      </c>
      <c r="O1181" t="s">
        <v>23</v>
      </c>
      <c r="P1181">
        <v>20</v>
      </c>
      <c r="Q1181" t="s">
        <v>50</v>
      </c>
      <c r="R1181" t="str">
        <f t="shared" si="166"/>
        <v>16_68___04/24/2024_2024_MonMon_CRC_W_PW_Sip_A_20_Nutri</v>
      </c>
    </row>
    <row r="1182" spans="1:18" x14ac:dyDescent="0.25">
      <c r="A1182">
        <v>16</v>
      </c>
      <c r="B1182">
        <v>69</v>
      </c>
      <c r="E1182" s="2">
        <v>45406</v>
      </c>
      <c r="F1182" s="11">
        <f t="shared" si="165"/>
        <v>45406</v>
      </c>
      <c r="G1182">
        <f t="shared" ref="G1182:G1211" si="173">YEAR(E1182)</f>
        <v>2024</v>
      </c>
      <c r="H1182">
        <f t="shared" ref="H1182:H1211" si="174">MONTH(E1182)</f>
        <v>4</v>
      </c>
      <c r="J1182" t="s">
        <v>10</v>
      </c>
      <c r="K1182" t="s">
        <v>16</v>
      </c>
      <c r="L1182" t="s">
        <v>9</v>
      </c>
      <c r="M1182" t="s">
        <v>11</v>
      </c>
      <c r="N1182" t="s">
        <v>27</v>
      </c>
      <c r="O1182" t="s">
        <v>23</v>
      </c>
      <c r="P1182">
        <v>45</v>
      </c>
      <c r="Q1182" t="s">
        <v>50</v>
      </c>
      <c r="R1182" t="str">
        <f t="shared" si="166"/>
        <v>16_69___04/24/2024_2024_MonMon_CRC_W_PW_Sip_A_45_Nutri</v>
      </c>
    </row>
    <row r="1183" spans="1:18" x14ac:dyDescent="0.25">
      <c r="A1183">
        <v>16</v>
      </c>
      <c r="B1183">
        <v>70</v>
      </c>
      <c r="E1183" s="2">
        <v>45406</v>
      </c>
      <c r="F1183" s="11">
        <f t="shared" si="165"/>
        <v>45406</v>
      </c>
      <c r="G1183">
        <f t="shared" si="173"/>
        <v>2024</v>
      </c>
      <c r="H1183">
        <f t="shared" si="174"/>
        <v>4</v>
      </c>
      <c r="J1183" t="s">
        <v>10</v>
      </c>
      <c r="K1183" t="s">
        <v>16</v>
      </c>
      <c r="L1183" t="s">
        <v>9</v>
      </c>
      <c r="M1183" t="s">
        <v>11</v>
      </c>
      <c r="N1183" t="s">
        <v>27</v>
      </c>
      <c r="O1183" t="s">
        <v>24</v>
      </c>
      <c r="P1183">
        <v>10</v>
      </c>
      <c r="Q1183" t="s">
        <v>50</v>
      </c>
      <c r="R1183" t="str">
        <f t="shared" si="166"/>
        <v>16_70___04/24/2024_2024_MonMon_CRC_W_PW_Sip_B_10_Nutri</v>
      </c>
    </row>
    <row r="1184" spans="1:18" x14ac:dyDescent="0.25">
      <c r="A1184">
        <v>16</v>
      </c>
      <c r="B1184">
        <v>71</v>
      </c>
      <c r="E1184" s="2">
        <v>45406</v>
      </c>
      <c r="F1184" s="11">
        <f t="shared" si="165"/>
        <v>45406</v>
      </c>
      <c r="G1184">
        <f t="shared" si="173"/>
        <v>2024</v>
      </c>
      <c r="H1184">
        <f t="shared" si="174"/>
        <v>4</v>
      </c>
      <c r="J1184" t="s">
        <v>10</v>
      </c>
      <c r="K1184" t="s">
        <v>16</v>
      </c>
      <c r="L1184" t="s">
        <v>9</v>
      </c>
      <c r="M1184" t="s">
        <v>11</v>
      </c>
      <c r="N1184" t="s">
        <v>27</v>
      </c>
      <c r="O1184" t="s">
        <v>24</v>
      </c>
      <c r="P1184">
        <v>20</v>
      </c>
      <c r="Q1184" t="s">
        <v>50</v>
      </c>
      <c r="R1184" t="str">
        <f t="shared" si="166"/>
        <v>16_71___04/24/2024_2024_MonMon_CRC_W_PW_Sip_B_20_Nutri</v>
      </c>
    </row>
    <row r="1185" spans="1:18" x14ac:dyDescent="0.25">
      <c r="A1185">
        <v>16</v>
      </c>
      <c r="B1185">
        <v>72</v>
      </c>
      <c r="E1185" s="2">
        <v>45406</v>
      </c>
      <c r="F1185" s="11">
        <f t="shared" si="165"/>
        <v>45406</v>
      </c>
      <c r="G1185">
        <f t="shared" si="173"/>
        <v>2024</v>
      </c>
      <c r="H1185">
        <f t="shared" si="174"/>
        <v>4</v>
      </c>
      <c r="J1185" t="s">
        <v>10</v>
      </c>
      <c r="K1185" t="s">
        <v>16</v>
      </c>
      <c r="L1185" t="s">
        <v>9</v>
      </c>
      <c r="M1185" t="s">
        <v>11</v>
      </c>
      <c r="N1185" t="s">
        <v>27</v>
      </c>
      <c r="O1185" t="s">
        <v>24</v>
      </c>
      <c r="P1185">
        <v>45</v>
      </c>
      <c r="Q1185" t="s">
        <v>50</v>
      </c>
      <c r="R1185" t="str">
        <f t="shared" si="166"/>
        <v>16_72___04/24/2024_2024_MonMon_CRC_W_PW_Sip_B_45_Nutri</v>
      </c>
    </row>
    <row r="1186" spans="1:18" x14ac:dyDescent="0.25">
      <c r="A1186">
        <v>16</v>
      </c>
      <c r="B1186">
        <v>73</v>
      </c>
      <c r="E1186" s="2">
        <v>45406</v>
      </c>
      <c r="F1186" s="11">
        <f t="shared" si="165"/>
        <v>45406</v>
      </c>
      <c r="G1186">
        <f t="shared" si="173"/>
        <v>2024</v>
      </c>
      <c r="H1186">
        <f t="shared" si="174"/>
        <v>4</v>
      </c>
      <c r="J1186" t="s">
        <v>10</v>
      </c>
      <c r="K1186" t="s">
        <v>16</v>
      </c>
      <c r="L1186" t="s">
        <v>9</v>
      </c>
      <c r="M1186" t="s">
        <v>11</v>
      </c>
      <c r="N1186" t="s">
        <v>27</v>
      </c>
      <c r="O1186" t="s">
        <v>25</v>
      </c>
      <c r="P1186">
        <v>10</v>
      </c>
      <c r="Q1186" t="s">
        <v>50</v>
      </c>
      <c r="R1186" t="str">
        <f t="shared" si="166"/>
        <v>16_73___04/24/2024_2024_MonMon_CRC_W_PW_Sip_C_10_Nutri</v>
      </c>
    </row>
    <row r="1187" spans="1:18" x14ac:dyDescent="0.25">
      <c r="A1187">
        <v>16</v>
      </c>
      <c r="B1187">
        <v>74</v>
      </c>
      <c r="E1187" s="2">
        <v>45406</v>
      </c>
      <c r="F1187" s="11">
        <f t="shared" si="165"/>
        <v>45406</v>
      </c>
      <c r="G1187">
        <f t="shared" si="173"/>
        <v>2024</v>
      </c>
      <c r="H1187">
        <f t="shared" si="174"/>
        <v>4</v>
      </c>
      <c r="J1187" t="s">
        <v>10</v>
      </c>
      <c r="K1187" t="s">
        <v>16</v>
      </c>
      <c r="L1187" t="s">
        <v>9</v>
      </c>
      <c r="M1187" t="s">
        <v>11</v>
      </c>
      <c r="N1187" t="s">
        <v>27</v>
      </c>
      <c r="O1187" t="s">
        <v>25</v>
      </c>
      <c r="P1187">
        <v>20</v>
      </c>
      <c r="Q1187" t="s">
        <v>50</v>
      </c>
      <c r="R1187" t="str">
        <f t="shared" si="166"/>
        <v>16_74___04/24/2024_2024_MonMon_CRC_W_PW_Sip_C_20_Nutri</v>
      </c>
    </row>
    <row r="1188" spans="1:18" x14ac:dyDescent="0.25">
      <c r="A1188">
        <v>16</v>
      </c>
      <c r="B1188">
        <v>75</v>
      </c>
      <c r="E1188" s="2">
        <v>45406</v>
      </c>
      <c r="F1188" s="11">
        <f t="shared" si="165"/>
        <v>45406</v>
      </c>
      <c r="G1188">
        <f t="shared" si="173"/>
        <v>2024</v>
      </c>
      <c r="H1188">
        <f t="shared" si="174"/>
        <v>4</v>
      </c>
      <c r="J1188" t="s">
        <v>10</v>
      </c>
      <c r="K1188" t="s">
        <v>16</v>
      </c>
      <c r="L1188" t="s">
        <v>9</v>
      </c>
      <c r="M1188" t="s">
        <v>11</v>
      </c>
      <c r="N1188" t="s">
        <v>27</v>
      </c>
      <c r="O1188" t="s">
        <v>25</v>
      </c>
      <c r="P1188">
        <v>45</v>
      </c>
      <c r="Q1188" t="s">
        <v>50</v>
      </c>
      <c r="R1188" t="str">
        <f t="shared" si="166"/>
        <v>16_75___04/24/2024_2024_MonMon_CRC_W_PW_Sip_C_45_Nutri</v>
      </c>
    </row>
    <row r="1189" spans="1:18" x14ac:dyDescent="0.25">
      <c r="A1189">
        <v>16</v>
      </c>
      <c r="B1189">
        <v>76</v>
      </c>
      <c r="E1189" s="2">
        <v>45406</v>
      </c>
      <c r="F1189" s="11">
        <f t="shared" si="165"/>
        <v>45406</v>
      </c>
      <c r="G1189">
        <f t="shared" si="173"/>
        <v>2024</v>
      </c>
      <c r="H1189">
        <f t="shared" si="174"/>
        <v>4</v>
      </c>
      <c r="J1189" t="s">
        <v>10</v>
      </c>
      <c r="K1189" t="s">
        <v>16</v>
      </c>
      <c r="L1189" t="s">
        <v>14</v>
      </c>
      <c r="M1189" t="s">
        <v>11</v>
      </c>
      <c r="N1189" t="s">
        <v>15</v>
      </c>
      <c r="O1189" t="s">
        <v>23</v>
      </c>
      <c r="P1189">
        <v>10</v>
      </c>
      <c r="Q1189" t="s">
        <v>50</v>
      </c>
      <c r="R1189" t="str">
        <f t="shared" si="166"/>
        <v>16_76___04/24/2024_2024_MonMon_CRC_TR_PW_Lys_A_10_Nutri</v>
      </c>
    </row>
    <row r="1190" spans="1:18" x14ac:dyDescent="0.25">
      <c r="A1190">
        <v>16</v>
      </c>
      <c r="B1190">
        <v>77</v>
      </c>
      <c r="E1190" s="2">
        <v>45406</v>
      </c>
      <c r="F1190" s="11">
        <f t="shared" si="165"/>
        <v>45406</v>
      </c>
      <c r="G1190">
        <f t="shared" si="173"/>
        <v>2024</v>
      </c>
      <c r="H1190">
        <f t="shared" si="174"/>
        <v>4</v>
      </c>
      <c r="J1190" t="s">
        <v>10</v>
      </c>
      <c r="K1190" t="s">
        <v>16</v>
      </c>
      <c r="L1190" t="s">
        <v>14</v>
      </c>
      <c r="M1190" t="s">
        <v>11</v>
      </c>
      <c r="N1190" t="s">
        <v>15</v>
      </c>
      <c r="O1190" t="s">
        <v>23</v>
      </c>
      <c r="P1190">
        <v>20</v>
      </c>
      <c r="Q1190" t="s">
        <v>50</v>
      </c>
      <c r="R1190" t="str">
        <f t="shared" si="166"/>
        <v>16_77___04/24/2024_2024_MonMon_CRC_TR_PW_Lys_A_20_Nutri</v>
      </c>
    </row>
    <row r="1191" spans="1:18" x14ac:dyDescent="0.25">
      <c r="A1191">
        <v>16</v>
      </c>
      <c r="B1191">
        <v>78</v>
      </c>
      <c r="E1191" s="2">
        <v>45406</v>
      </c>
      <c r="F1191" s="11">
        <f t="shared" si="165"/>
        <v>45406</v>
      </c>
      <c r="G1191">
        <f t="shared" si="173"/>
        <v>2024</v>
      </c>
      <c r="H1191">
        <f t="shared" si="174"/>
        <v>4</v>
      </c>
      <c r="J1191" t="s">
        <v>10</v>
      </c>
      <c r="K1191" t="s">
        <v>16</v>
      </c>
      <c r="L1191" t="s">
        <v>14</v>
      </c>
      <c r="M1191" t="s">
        <v>11</v>
      </c>
      <c r="N1191" t="s">
        <v>15</v>
      </c>
      <c r="O1191" t="s">
        <v>23</v>
      </c>
      <c r="P1191">
        <v>45</v>
      </c>
      <c r="Q1191" t="s">
        <v>50</v>
      </c>
      <c r="R1191" t="str">
        <f t="shared" si="166"/>
        <v>16_78___04/24/2024_2024_MonMon_CRC_TR_PW_Lys_A_45_Nutri</v>
      </c>
    </row>
    <row r="1192" spans="1:18" x14ac:dyDescent="0.25">
      <c r="A1192">
        <v>16</v>
      </c>
      <c r="B1192">
        <v>79</v>
      </c>
      <c r="E1192" s="2">
        <v>45406</v>
      </c>
      <c r="F1192" s="11">
        <f t="shared" si="165"/>
        <v>45406</v>
      </c>
      <c r="G1192">
        <f t="shared" si="173"/>
        <v>2024</v>
      </c>
      <c r="H1192">
        <f t="shared" si="174"/>
        <v>4</v>
      </c>
      <c r="J1192" t="s">
        <v>10</v>
      </c>
      <c r="K1192" t="s">
        <v>16</v>
      </c>
      <c r="L1192" t="s">
        <v>14</v>
      </c>
      <c r="M1192" t="s">
        <v>11</v>
      </c>
      <c r="N1192" t="s">
        <v>15</v>
      </c>
      <c r="O1192" t="s">
        <v>24</v>
      </c>
      <c r="P1192">
        <v>10</v>
      </c>
      <c r="Q1192" t="s">
        <v>50</v>
      </c>
      <c r="R1192" t="str">
        <f t="shared" si="166"/>
        <v>16_79___04/24/2024_2024_MonMon_CRC_TR_PW_Lys_B_10_Nutri</v>
      </c>
    </row>
    <row r="1193" spans="1:18" x14ac:dyDescent="0.25">
      <c r="A1193">
        <v>16</v>
      </c>
      <c r="B1193">
        <v>80</v>
      </c>
      <c r="E1193" s="2">
        <v>45406</v>
      </c>
      <c r="F1193" s="11">
        <f t="shared" si="165"/>
        <v>45406</v>
      </c>
      <c r="G1193">
        <f t="shared" si="173"/>
        <v>2024</v>
      </c>
      <c r="H1193">
        <f t="shared" si="174"/>
        <v>4</v>
      </c>
      <c r="J1193" t="s">
        <v>10</v>
      </c>
      <c r="K1193" t="s">
        <v>16</v>
      </c>
      <c r="L1193" t="s">
        <v>14</v>
      </c>
      <c r="M1193" t="s">
        <v>11</v>
      </c>
      <c r="N1193" t="s">
        <v>15</v>
      </c>
      <c r="O1193" t="s">
        <v>24</v>
      </c>
      <c r="P1193">
        <v>20</v>
      </c>
      <c r="Q1193" t="s">
        <v>50</v>
      </c>
      <c r="R1193" t="str">
        <f t="shared" si="166"/>
        <v>16_80___04/24/2024_2024_MonMon_CRC_TR_PW_Lys_B_20_Nutri</v>
      </c>
    </row>
    <row r="1194" spans="1:18" x14ac:dyDescent="0.25">
      <c r="A1194">
        <v>16</v>
      </c>
      <c r="B1194">
        <v>81</v>
      </c>
      <c r="E1194" s="2">
        <v>45406</v>
      </c>
      <c r="F1194" s="11">
        <f t="shared" si="165"/>
        <v>45406</v>
      </c>
      <c r="G1194">
        <f t="shared" si="173"/>
        <v>2024</v>
      </c>
      <c r="H1194">
        <f t="shared" si="174"/>
        <v>4</v>
      </c>
      <c r="J1194" t="s">
        <v>10</v>
      </c>
      <c r="K1194" t="s">
        <v>16</v>
      </c>
      <c r="L1194" t="s">
        <v>14</v>
      </c>
      <c r="M1194" t="s">
        <v>11</v>
      </c>
      <c r="N1194" t="s">
        <v>15</v>
      </c>
      <c r="O1194" t="s">
        <v>24</v>
      </c>
      <c r="P1194">
        <v>45</v>
      </c>
      <c r="Q1194" t="s">
        <v>50</v>
      </c>
      <c r="R1194" t="str">
        <f t="shared" si="166"/>
        <v>16_81___04/24/2024_2024_MonMon_CRC_TR_PW_Lys_B_45_Nutri</v>
      </c>
    </row>
    <row r="1195" spans="1:18" x14ac:dyDescent="0.25">
      <c r="A1195">
        <v>16</v>
      </c>
      <c r="B1195">
        <v>82</v>
      </c>
      <c r="E1195" s="2">
        <v>45406</v>
      </c>
      <c r="F1195" s="11">
        <f t="shared" si="165"/>
        <v>45406</v>
      </c>
      <c r="G1195">
        <f t="shared" si="173"/>
        <v>2024</v>
      </c>
      <c r="H1195">
        <f t="shared" si="174"/>
        <v>4</v>
      </c>
      <c r="J1195" t="s">
        <v>10</v>
      </c>
      <c r="K1195" t="s">
        <v>16</v>
      </c>
      <c r="L1195" t="s">
        <v>14</v>
      </c>
      <c r="M1195" t="s">
        <v>11</v>
      </c>
      <c r="N1195" t="s">
        <v>15</v>
      </c>
      <c r="O1195" t="s">
        <v>25</v>
      </c>
      <c r="P1195">
        <v>10</v>
      </c>
      <c r="Q1195" t="s">
        <v>50</v>
      </c>
      <c r="R1195" t="str">
        <f t="shared" si="166"/>
        <v>16_82___04/24/2024_2024_MonMon_CRC_TR_PW_Lys_C_10_Nutri</v>
      </c>
    </row>
    <row r="1196" spans="1:18" x14ac:dyDescent="0.25">
      <c r="A1196">
        <v>16</v>
      </c>
      <c r="B1196">
        <v>83</v>
      </c>
      <c r="E1196" s="2">
        <v>45406</v>
      </c>
      <c r="F1196" s="11">
        <f t="shared" si="165"/>
        <v>45406</v>
      </c>
      <c r="G1196">
        <f t="shared" si="173"/>
        <v>2024</v>
      </c>
      <c r="H1196">
        <f t="shared" si="174"/>
        <v>4</v>
      </c>
      <c r="J1196" t="s">
        <v>10</v>
      </c>
      <c r="K1196" t="s">
        <v>16</v>
      </c>
      <c r="L1196" t="s">
        <v>14</v>
      </c>
      <c r="M1196" t="s">
        <v>11</v>
      </c>
      <c r="N1196" t="s">
        <v>15</v>
      </c>
      <c r="O1196" t="s">
        <v>25</v>
      </c>
      <c r="P1196">
        <v>20</v>
      </c>
      <c r="Q1196" t="s">
        <v>50</v>
      </c>
      <c r="R1196" t="str">
        <f t="shared" si="166"/>
        <v>16_83___04/24/2024_2024_MonMon_CRC_TR_PW_Lys_C_20_Nutri</v>
      </c>
    </row>
    <row r="1197" spans="1:18" x14ac:dyDescent="0.25">
      <c r="A1197">
        <v>16</v>
      </c>
      <c r="B1197">
        <v>84</v>
      </c>
      <c r="E1197" s="2">
        <v>45406</v>
      </c>
      <c r="F1197" s="11">
        <f t="shared" si="165"/>
        <v>45406</v>
      </c>
      <c r="G1197">
        <f t="shared" si="173"/>
        <v>2024</v>
      </c>
      <c r="H1197">
        <f t="shared" si="174"/>
        <v>4</v>
      </c>
      <c r="J1197" t="s">
        <v>10</v>
      </c>
      <c r="K1197" t="s">
        <v>16</v>
      </c>
      <c r="L1197" t="s">
        <v>14</v>
      </c>
      <c r="M1197" t="s">
        <v>11</v>
      </c>
      <c r="N1197" t="s">
        <v>15</v>
      </c>
      <c r="O1197" t="s">
        <v>25</v>
      </c>
      <c r="P1197">
        <v>45</v>
      </c>
      <c r="Q1197" t="s">
        <v>50</v>
      </c>
      <c r="R1197" t="str">
        <f t="shared" si="166"/>
        <v>16_84___04/24/2024_2024_MonMon_CRC_TR_PW_Lys_C_45_Nutri</v>
      </c>
    </row>
    <row r="1198" spans="1:18" x14ac:dyDescent="0.25">
      <c r="A1198">
        <v>16</v>
      </c>
      <c r="B1198">
        <v>85</v>
      </c>
      <c r="E1198" s="2">
        <v>45406</v>
      </c>
      <c r="F1198" s="11">
        <f t="shared" si="165"/>
        <v>45406</v>
      </c>
      <c r="G1198">
        <f t="shared" si="173"/>
        <v>2024</v>
      </c>
      <c r="H1198">
        <f t="shared" si="174"/>
        <v>4</v>
      </c>
      <c r="J1198" t="s">
        <v>10</v>
      </c>
      <c r="K1198" t="s">
        <v>16</v>
      </c>
      <c r="L1198" t="s">
        <v>17</v>
      </c>
      <c r="M1198" t="s">
        <v>11</v>
      </c>
      <c r="N1198" t="s">
        <v>15</v>
      </c>
      <c r="O1198" t="s">
        <v>23</v>
      </c>
      <c r="P1198">
        <v>20</v>
      </c>
      <c r="Q1198" t="s">
        <v>50</v>
      </c>
      <c r="R1198" t="str">
        <f t="shared" si="166"/>
        <v>16_85___04/24/2024_2024_MonMon_CRC_UP_PW_Lys_A_20_Nutri</v>
      </c>
    </row>
    <row r="1199" spans="1:18" x14ac:dyDescent="0.25">
      <c r="A1199">
        <v>16</v>
      </c>
      <c r="B1199">
        <v>86</v>
      </c>
      <c r="E1199" s="2">
        <v>45406</v>
      </c>
      <c r="F1199" s="11">
        <f t="shared" si="165"/>
        <v>45406</v>
      </c>
      <c r="G1199">
        <f t="shared" si="173"/>
        <v>2024</v>
      </c>
      <c r="H1199">
        <f t="shared" si="174"/>
        <v>4</v>
      </c>
      <c r="J1199" t="s">
        <v>10</v>
      </c>
      <c r="K1199" t="s">
        <v>16</v>
      </c>
      <c r="L1199" t="s">
        <v>17</v>
      </c>
      <c r="M1199" t="s">
        <v>11</v>
      </c>
      <c r="N1199" t="s">
        <v>15</v>
      </c>
      <c r="O1199" t="s">
        <v>24</v>
      </c>
      <c r="P1199">
        <v>10</v>
      </c>
      <c r="Q1199" t="s">
        <v>50</v>
      </c>
      <c r="R1199" t="str">
        <f t="shared" si="166"/>
        <v>16_86___04/24/2024_2024_MonMon_CRC_UP_PW_Lys_B_10_Nutri</v>
      </c>
    </row>
    <row r="1200" spans="1:18" x14ac:dyDescent="0.25">
      <c r="A1200">
        <v>16</v>
      </c>
      <c r="B1200">
        <v>87</v>
      </c>
      <c r="E1200" s="2">
        <v>45406</v>
      </c>
      <c r="F1200" s="11">
        <f t="shared" si="165"/>
        <v>45406</v>
      </c>
      <c r="G1200">
        <f t="shared" si="173"/>
        <v>2024</v>
      </c>
      <c r="H1200">
        <f t="shared" si="174"/>
        <v>4</v>
      </c>
      <c r="J1200" t="s">
        <v>10</v>
      </c>
      <c r="K1200" t="s">
        <v>16</v>
      </c>
      <c r="L1200" t="s">
        <v>17</v>
      </c>
      <c r="M1200" t="s">
        <v>11</v>
      </c>
      <c r="N1200" t="s">
        <v>15</v>
      </c>
      <c r="O1200" t="s">
        <v>24</v>
      </c>
      <c r="P1200">
        <v>20</v>
      </c>
      <c r="Q1200" t="s">
        <v>50</v>
      </c>
      <c r="R1200" t="str">
        <f t="shared" si="166"/>
        <v>16_87___04/24/2024_2024_MonMon_CRC_UP_PW_Lys_B_20_Nutri</v>
      </c>
    </row>
    <row r="1201" spans="1:18" x14ac:dyDescent="0.25">
      <c r="A1201">
        <v>16</v>
      </c>
      <c r="B1201">
        <v>88</v>
      </c>
      <c r="E1201" s="2">
        <v>45406</v>
      </c>
      <c r="F1201" s="11">
        <f t="shared" si="165"/>
        <v>45406</v>
      </c>
      <c r="G1201">
        <f t="shared" si="173"/>
        <v>2024</v>
      </c>
      <c r="H1201">
        <f t="shared" si="174"/>
        <v>4</v>
      </c>
      <c r="J1201" t="s">
        <v>10</v>
      </c>
      <c r="K1201" t="s">
        <v>16</v>
      </c>
      <c r="L1201" t="s">
        <v>17</v>
      </c>
      <c r="M1201" t="s">
        <v>11</v>
      </c>
      <c r="N1201" t="s">
        <v>15</v>
      </c>
      <c r="O1201" t="s">
        <v>25</v>
      </c>
      <c r="P1201">
        <v>10</v>
      </c>
      <c r="Q1201" t="s">
        <v>50</v>
      </c>
      <c r="R1201" t="str">
        <f t="shared" si="166"/>
        <v>16_88___04/24/2024_2024_MonMon_CRC_UP_PW_Lys_C_10_Nutri</v>
      </c>
    </row>
    <row r="1202" spans="1:18" x14ac:dyDescent="0.25">
      <c r="A1202">
        <v>16</v>
      </c>
      <c r="B1202">
        <v>89</v>
      </c>
      <c r="E1202" s="2">
        <v>45406</v>
      </c>
      <c r="F1202" s="11">
        <f t="shared" si="165"/>
        <v>45406</v>
      </c>
      <c r="G1202">
        <f t="shared" si="173"/>
        <v>2024</v>
      </c>
      <c r="H1202">
        <f t="shared" si="174"/>
        <v>4</v>
      </c>
      <c r="J1202" t="s">
        <v>10</v>
      </c>
      <c r="K1202" t="s">
        <v>16</v>
      </c>
      <c r="L1202" t="s">
        <v>17</v>
      </c>
      <c r="M1202" t="s">
        <v>26</v>
      </c>
      <c r="N1202" t="s">
        <v>18</v>
      </c>
      <c r="Q1202" t="s">
        <v>50</v>
      </c>
      <c r="R1202" t="str">
        <f t="shared" si="166"/>
        <v>16_89___04/24/2024_2024_MonMon_CRC_UP_RZ_Rz___Nutri</v>
      </c>
    </row>
    <row r="1203" spans="1:18" x14ac:dyDescent="0.25">
      <c r="A1203">
        <v>16</v>
      </c>
      <c r="B1203">
        <v>90</v>
      </c>
      <c r="E1203" s="2">
        <v>45406</v>
      </c>
      <c r="F1203" s="11">
        <f t="shared" si="165"/>
        <v>45406</v>
      </c>
      <c r="G1203">
        <f t="shared" si="173"/>
        <v>2024</v>
      </c>
      <c r="H1203">
        <f t="shared" si="174"/>
        <v>4</v>
      </c>
      <c r="J1203" t="s">
        <v>10</v>
      </c>
      <c r="K1203" t="s">
        <v>16</v>
      </c>
      <c r="L1203" t="s">
        <v>9</v>
      </c>
      <c r="M1203" t="s">
        <v>33</v>
      </c>
      <c r="N1203" t="s">
        <v>27</v>
      </c>
      <c r="O1203" t="s">
        <v>23</v>
      </c>
      <c r="Q1203" t="s">
        <v>50</v>
      </c>
      <c r="R1203" t="str">
        <f t="shared" si="166"/>
        <v>16_90___04/24/2024_2024_MonMon_CRC_W_GW_Sip_A__Nutri</v>
      </c>
    </row>
    <row r="1204" spans="1:18" x14ac:dyDescent="0.25">
      <c r="A1204">
        <v>16</v>
      </c>
      <c r="B1204">
        <v>91</v>
      </c>
      <c r="E1204" s="2">
        <v>45406</v>
      </c>
      <c r="F1204" s="11">
        <f t="shared" si="165"/>
        <v>45406</v>
      </c>
      <c r="G1204">
        <f t="shared" si="173"/>
        <v>2024</v>
      </c>
      <c r="H1204">
        <f t="shared" si="174"/>
        <v>4</v>
      </c>
      <c r="J1204" t="s">
        <v>10</v>
      </c>
      <c r="K1204" t="s">
        <v>16</v>
      </c>
      <c r="L1204" t="s">
        <v>9</v>
      </c>
      <c r="M1204" t="s">
        <v>33</v>
      </c>
      <c r="N1204" t="s">
        <v>27</v>
      </c>
      <c r="O1204" t="s">
        <v>24</v>
      </c>
      <c r="Q1204" t="s">
        <v>50</v>
      </c>
      <c r="R1204" t="str">
        <f t="shared" si="166"/>
        <v>16_91___04/24/2024_2024_MonMon_CRC_W_GW_Sip_B__Nutri</v>
      </c>
    </row>
    <row r="1205" spans="1:18" x14ac:dyDescent="0.25">
      <c r="A1205">
        <v>16</v>
      </c>
      <c r="B1205">
        <v>92</v>
      </c>
      <c r="E1205" s="2">
        <v>45406</v>
      </c>
      <c r="F1205" s="11">
        <f t="shared" si="165"/>
        <v>45406</v>
      </c>
      <c r="G1205">
        <f t="shared" si="173"/>
        <v>2024</v>
      </c>
      <c r="H1205">
        <f t="shared" si="174"/>
        <v>4</v>
      </c>
      <c r="J1205" t="s">
        <v>10</v>
      </c>
      <c r="K1205" t="s">
        <v>16</v>
      </c>
      <c r="L1205" t="s">
        <v>9</v>
      </c>
      <c r="M1205" t="s">
        <v>33</v>
      </c>
      <c r="N1205" t="s">
        <v>27</v>
      </c>
      <c r="O1205" t="s">
        <v>25</v>
      </c>
      <c r="Q1205" t="s">
        <v>50</v>
      </c>
      <c r="R1205" t="str">
        <f t="shared" si="166"/>
        <v>16_92___04/24/2024_2024_MonMon_CRC_W_GW_Sip_C__Nutri</v>
      </c>
    </row>
    <row r="1206" spans="1:18" x14ac:dyDescent="0.25">
      <c r="A1206">
        <v>16</v>
      </c>
      <c r="B1206">
        <v>93</v>
      </c>
      <c r="E1206" s="2">
        <v>45406</v>
      </c>
      <c r="F1206" s="11">
        <f t="shared" si="165"/>
        <v>45406</v>
      </c>
      <c r="G1206">
        <f t="shared" si="173"/>
        <v>2024</v>
      </c>
      <c r="H1206">
        <f t="shared" si="174"/>
        <v>4</v>
      </c>
      <c r="J1206" t="s">
        <v>10</v>
      </c>
      <c r="K1206" t="s">
        <v>16</v>
      </c>
      <c r="L1206" t="s">
        <v>14</v>
      </c>
      <c r="M1206" t="s">
        <v>33</v>
      </c>
      <c r="N1206" t="s">
        <v>27</v>
      </c>
      <c r="O1206" t="s">
        <v>23</v>
      </c>
      <c r="Q1206" t="s">
        <v>50</v>
      </c>
      <c r="R1206" t="str">
        <f t="shared" si="166"/>
        <v>16_93___04/24/2024_2024_MonMon_CRC_TR_GW_Sip_A__Nutri</v>
      </c>
    </row>
    <row r="1207" spans="1:18" x14ac:dyDescent="0.25">
      <c r="A1207">
        <v>16</v>
      </c>
      <c r="B1207">
        <v>94</v>
      </c>
      <c r="E1207" s="2">
        <v>45406</v>
      </c>
      <c r="F1207" s="11">
        <f t="shared" si="165"/>
        <v>45406</v>
      </c>
      <c r="G1207">
        <f t="shared" si="173"/>
        <v>2024</v>
      </c>
      <c r="H1207">
        <f t="shared" si="174"/>
        <v>4</v>
      </c>
      <c r="J1207" t="s">
        <v>10</v>
      </c>
      <c r="K1207" t="s">
        <v>16</v>
      </c>
      <c r="L1207" t="s">
        <v>14</v>
      </c>
      <c r="M1207" t="s">
        <v>33</v>
      </c>
      <c r="N1207" t="s">
        <v>27</v>
      </c>
      <c r="O1207" t="s">
        <v>24</v>
      </c>
      <c r="Q1207" t="s">
        <v>50</v>
      </c>
      <c r="R1207" t="str">
        <f t="shared" si="166"/>
        <v>16_94___04/24/2024_2024_MonMon_CRC_TR_GW_Sip_B__Nutri</v>
      </c>
    </row>
    <row r="1208" spans="1:18" x14ac:dyDescent="0.25">
      <c r="A1208">
        <v>16</v>
      </c>
      <c r="B1208">
        <v>95</v>
      </c>
      <c r="E1208" s="2">
        <v>45406</v>
      </c>
      <c r="F1208" s="11">
        <f t="shared" si="165"/>
        <v>45406</v>
      </c>
      <c r="G1208">
        <f t="shared" si="173"/>
        <v>2024</v>
      </c>
      <c r="H1208">
        <f t="shared" si="174"/>
        <v>4</v>
      </c>
      <c r="J1208" t="s">
        <v>10</v>
      </c>
      <c r="K1208" t="s">
        <v>16</v>
      </c>
      <c r="L1208" t="s">
        <v>14</v>
      </c>
      <c r="M1208" t="s">
        <v>33</v>
      </c>
      <c r="N1208" t="s">
        <v>27</v>
      </c>
      <c r="O1208" t="s">
        <v>25</v>
      </c>
      <c r="Q1208" t="s">
        <v>50</v>
      </c>
      <c r="R1208" t="str">
        <f t="shared" si="166"/>
        <v>16_95___04/24/2024_2024_MonMon_CRC_TR_GW_Sip_C__Nutri</v>
      </c>
    </row>
    <row r="1209" spans="1:18" x14ac:dyDescent="0.25">
      <c r="A1209">
        <v>16</v>
      </c>
      <c r="B1209">
        <v>96</v>
      </c>
      <c r="E1209" s="2">
        <v>45406</v>
      </c>
      <c r="F1209" s="11">
        <f t="shared" si="165"/>
        <v>45406</v>
      </c>
      <c r="G1209">
        <f t="shared" si="173"/>
        <v>2024</v>
      </c>
      <c r="H1209">
        <f t="shared" si="174"/>
        <v>4</v>
      </c>
      <c r="J1209" t="s">
        <v>10</v>
      </c>
      <c r="K1209" t="s">
        <v>16</v>
      </c>
      <c r="L1209" t="s">
        <v>17</v>
      </c>
      <c r="M1209" t="s">
        <v>33</v>
      </c>
      <c r="N1209" t="s">
        <v>27</v>
      </c>
      <c r="O1209" t="s">
        <v>23</v>
      </c>
      <c r="Q1209" t="s">
        <v>50</v>
      </c>
      <c r="R1209" t="str">
        <f t="shared" si="166"/>
        <v>16_96___04/24/2024_2024_MonMon_CRC_UP_GW_Sip_A__Nutri</v>
      </c>
    </row>
    <row r="1210" spans="1:18" x14ac:dyDescent="0.25">
      <c r="A1210">
        <v>16</v>
      </c>
      <c r="B1210">
        <v>97</v>
      </c>
      <c r="E1210" s="2">
        <v>45406</v>
      </c>
      <c r="F1210" s="11">
        <f t="shared" si="165"/>
        <v>45406</v>
      </c>
      <c r="G1210">
        <f t="shared" si="173"/>
        <v>2024</v>
      </c>
      <c r="H1210">
        <f t="shared" si="174"/>
        <v>4</v>
      </c>
      <c r="J1210" t="s">
        <v>10</v>
      </c>
      <c r="K1210" t="s">
        <v>16</v>
      </c>
      <c r="L1210" t="s">
        <v>17</v>
      </c>
      <c r="M1210" t="s">
        <v>33</v>
      </c>
      <c r="N1210" t="s">
        <v>27</v>
      </c>
      <c r="O1210" t="s">
        <v>24</v>
      </c>
      <c r="Q1210" t="s">
        <v>50</v>
      </c>
      <c r="R1210" t="str">
        <f t="shared" si="166"/>
        <v>16_97___04/24/2024_2024_MonMon_CRC_UP_GW_Sip_B__Nutri</v>
      </c>
    </row>
    <row r="1211" spans="1:18" x14ac:dyDescent="0.25">
      <c r="A1211">
        <v>16</v>
      </c>
      <c r="B1211">
        <v>98</v>
      </c>
      <c r="E1211" s="2">
        <v>45406</v>
      </c>
      <c r="F1211" s="11">
        <f t="shared" si="165"/>
        <v>45406</v>
      </c>
      <c r="G1211">
        <f t="shared" si="173"/>
        <v>2024</v>
      </c>
      <c r="H1211">
        <f t="shared" si="174"/>
        <v>4</v>
      </c>
      <c r="J1211" t="s">
        <v>10</v>
      </c>
      <c r="K1211" t="s">
        <v>16</v>
      </c>
      <c r="L1211" t="s">
        <v>17</v>
      </c>
      <c r="M1211" t="s">
        <v>33</v>
      </c>
      <c r="N1211" t="s">
        <v>27</v>
      </c>
      <c r="O1211" t="s">
        <v>25</v>
      </c>
      <c r="Q1211" t="s">
        <v>50</v>
      </c>
      <c r="R1211" t="str">
        <f t="shared" si="166"/>
        <v>16_98___04/24/2024_2024_MonMon_CRC_UP_GW_Sip_C__Nutri</v>
      </c>
    </row>
    <row r="1212" spans="1:18" x14ac:dyDescent="0.25">
      <c r="A1212">
        <v>17</v>
      </c>
      <c r="B1212">
        <v>1</v>
      </c>
      <c r="E1212" s="2">
        <v>45406</v>
      </c>
      <c r="F1212" s="11">
        <f t="shared" si="165"/>
        <v>45406</v>
      </c>
      <c r="G1212">
        <f t="shared" ref="G1212:G1213" si="175">YEAR(E1212)</f>
        <v>2024</v>
      </c>
      <c r="H1212">
        <f t="shared" ref="H1212:H1213" si="176">MONTH(E1212)</f>
        <v>4</v>
      </c>
      <c r="J1212" t="s">
        <v>10</v>
      </c>
      <c r="K1212" t="s">
        <v>8</v>
      </c>
      <c r="L1212" t="s">
        <v>9</v>
      </c>
      <c r="M1212" t="s">
        <v>11</v>
      </c>
      <c r="N1212" t="s">
        <v>27</v>
      </c>
      <c r="O1212" t="s">
        <v>23</v>
      </c>
      <c r="P1212">
        <v>20</v>
      </c>
      <c r="Q1212" t="s">
        <v>50</v>
      </c>
      <c r="R1212" t="str">
        <f t="shared" si="166"/>
        <v>17_1___04/24/2024_2024_MonMon_OWC_W_PW_Sip_A_20_Nutri</v>
      </c>
    </row>
    <row r="1213" spans="1:18" x14ac:dyDescent="0.25">
      <c r="A1213">
        <v>17</v>
      </c>
      <c r="B1213">
        <v>2</v>
      </c>
      <c r="E1213" s="2">
        <v>45406</v>
      </c>
      <c r="F1213" s="11">
        <f t="shared" si="165"/>
        <v>45406</v>
      </c>
      <c r="G1213">
        <f t="shared" si="175"/>
        <v>2024</v>
      </c>
      <c r="H1213">
        <f t="shared" si="176"/>
        <v>4</v>
      </c>
      <c r="J1213" t="s">
        <v>10</v>
      </c>
      <c r="K1213" t="s">
        <v>8</v>
      </c>
      <c r="L1213" t="s">
        <v>9</v>
      </c>
      <c r="M1213" t="s">
        <v>11</v>
      </c>
      <c r="N1213" t="s">
        <v>27</v>
      </c>
      <c r="O1213" t="s">
        <v>23</v>
      </c>
      <c r="P1213">
        <v>45</v>
      </c>
      <c r="Q1213" t="s">
        <v>50</v>
      </c>
      <c r="R1213" t="str">
        <f t="shared" si="166"/>
        <v>17_2___04/24/2024_2024_MonMon_OWC_W_PW_Sip_A_45_Nutri</v>
      </c>
    </row>
    <row r="1214" spans="1:18" x14ac:dyDescent="0.25">
      <c r="A1214">
        <v>17</v>
      </c>
      <c r="B1214">
        <v>3</v>
      </c>
      <c r="E1214" s="2">
        <v>45406</v>
      </c>
      <c r="F1214" s="11">
        <f t="shared" si="165"/>
        <v>45406</v>
      </c>
      <c r="G1214">
        <f t="shared" ref="G1214:G1234" si="177">YEAR(E1214)</f>
        <v>2024</v>
      </c>
      <c r="H1214">
        <f t="shared" ref="H1214:H1234" si="178">MONTH(E1214)</f>
        <v>4</v>
      </c>
      <c r="J1214" t="s">
        <v>10</v>
      </c>
      <c r="K1214" t="s">
        <v>8</v>
      </c>
      <c r="L1214" t="s">
        <v>9</v>
      </c>
      <c r="M1214" t="s">
        <v>11</v>
      </c>
      <c r="N1214" t="s">
        <v>27</v>
      </c>
      <c r="O1214" t="s">
        <v>24</v>
      </c>
      <c r="P1214">
        <v>20</v>
      </c>
      <c r="Q1214" t="s">
        <v>50</v>
      </c>
      <c r="R1214" t="str">
        <f t="shared" si="166"/>
        <v>17_3___04/24/2024_2024_MonMon_OWC_W_PW_Sip_B_20_Nutri</v>
      </c>
    </row>
    <row r="1215" spans="1:18" x14ac:dyDescent="0.25">
      <c r="A1215">
        <v>17</v>
      </c>
      <c r="B1215">
        <v>4</v>
      </c>
      <c r="E1215" s="2">
        <v>45406</v>
      </c>
      <c r="F1215" s="11">
        <f t="shared" si="165"/>
        <v>45406</v>
      </c>
      <c r="G1215">
        <f t="shared" si="177"/>
        <v>2024</v>
      </c>
      <c r="H1215">
        <f t="shared" si="178"/>
        <v>4</v>
      </c>
      <c r="J1215" t="s">
        <v>10</v>
      </c>
      <c r="K1215" t="s">
        <v>8</v>
      </c>
      <c r="L1215" t="s">
        <v>9</v>
      </c>
      <c r="M1215" t="s">
        <v>11</v>
      </c>
      <c r="N1215" t="s">
        <v>27</v>
      </c>
      <c r="O1215" t="s">
        <v>24</v>
      </c>
      <c r="P1215">
        <v>45</v>
      </c>
      <c r="Q1215" t="s">
        <v>50</v>
      </c>
      <c r="R1215" t="str">
        <f t="shared" si="166"/>
        <v>17_4___04/24/2024_2024_MonMon_OWC_W_PW_Sip_B_45_Nutri</v>
      </c>
    </row>
    <row r="1216" spans="1:18" x14ac:dyDescent="0.25">
      <c r="A1216">
        <v>17</v>
      </c>
      <c r="B1216">
        <v>5</v>
      </c>
      <c r="E1216" s="2">
        <v>45406</v>
      </c>
      <c r="F1216" s="11">
        <f t="shared" si="165"/>
        <v>45406</v>
      </c>
      <c r="G1216">
        <f t="shared" si="177"/>
        <v>2024</v>
      </c>
      <c r="H1216">
        <f t="shared" si="178"/>
        <v>4</v>
      </c>
      <c r="J1216" t="s">
        <v>10</v>
      </c>
      <c r="K1216" t="s">
        <v>8</v>
      </c>
      <c r="L1216" t="s">
        <v>9</v>
      </c>
      <c r="M1216" t="s">
        <v>11</v>
      </c>
      <c r="N1216" t="s">
        <v>27</v>
      </c>
      <c r="O1216" t="s">
        <v>25</v>
      </c>
      <c r="P1216">
        <v>20</v>
      </c>
      <c r="Q1216" t="s">
        <v>50</v>
      </c>
      <c r="R1216" t="str">
        <f t="shared" si="166"/>
        <v>17_5___04/24/2024_2024_MonMon_OWC_W_PW_Sip_C_20_Nutri</v>
      </c>
    </row>
    <row r="1217" spans="1:18" x14ac:dyDescent="0.25">
      <c r="A1217">
        <v>17</v>
      </c>
      <c r="B1217">
        <v>6</v>
      </c>
      <c r="E1217" s="2">
        <v>45406</v>
      </c>
      <c r="F1217" s="11">
        <f t="shared" si="165"/>
        <v>45406</v>
      </c>
      <c r="G1217">
        <f t="shared" si="177"/>
        <v>2024</v>
      </c>
      <c r="H1217">
        <f t="shared" si="178"/>
        <v>4</v>
      </c>
      <c r="J1217" t="s">
        <v>10</v>
      </c>
      <c r="K1217" t="s">
        <v>8</v>
      </c>
      <c r="L1217" t="s">
        <v>9</v>
      </c>
      <c r="M1217" t="s">
        <v>11</v>
      </c>
      <c r="N1217" t="s">
        <v>27</v>
      </c>
      <c r="O1217" t="s">
        <v>25</v>
      </c>
      <c r="P1217">
        <v>45</v>
      </c>
      <c r="Q1217" t="s">
        <v>50</v>
      </c>
      <c r="R1217" t="str">
        <f t="shared" si="166"/>
        <v>17_6___04/24/2024_2024_MonMon_OWC_W_PW_Sip_C_45_Nutri</v>
      </c>
    </row>
    <row r="1218" spans="1:18" x14ac:dyDescent="0.25">
      <c r="A1218">
        <v>17</v>
      </c>
      <c r="B1218">
        <v>7</v>
      </c>
      <c r="E1218" s="2">
        <v>45406</v>
      </c>
      <c r="F1218" s="11">
        <f t="shared" si="165"/>
        <v>45406</v>
      </c>
      <c r="G1218">
        <f t="shared" si="177"/>
        <v>2024</v>
      </c>
      <c r="H1218">
        <f t="shared" si="178"/>
        <v>4</v>
      </c>
      <c r="J1218" t="s">
        <v>10</v>
      </c>
      <c r="K1218" t="s">
        <v>8</v>
      </c>
      <c r="L1218" t="s">
        <v>14</v>
      </c>
      <c r="M1218" t="s">
        <v>11</v>
      </c>
      <c r="N1218" t="s">
        <v>15</v>
      </c>
      <c r="O1218" t="s">
        <v>23</v>
      </c>
      <c r="P1218">
        <v>10</v>
      </c>
      <c r="Q1218" t="s">
        <v>50</v>
      </c>
      <c r="R1218" t="str">
        <f t="shared" si="166"/>
        <v>17_7___04/24/2024_2024_MonMon_OWC_TR_PW_Lys_A_10_Nutri</v>
      </c>
    </row>
    <row r="1219" spans="1:18" x14ac:dyDescent="0.25">
      <c r="A1219">
        <v>17</v>
      </c>
      <c r="B1219">
        <v>8</v>
      </c>
      <c r="E1219" s="2">
        <v>45406</v>
      </c>
      <c r="F1219" s="11">
        <f t="shared" ref="F1219:F1243" si="179">E1219</f>
        <v>45406</v>
      </c>
      <c r="G1219">
        <f t="shared" si="177"/>
        <v>2024</v>
      </c>
      <c r="H1219">
        <f t="shared" si="178"/>
        <v>4</v>
      </c>
      <c r="J1219" t="s">
        <v>10</v>
      </c>
      <c r="K1219" t="s">
        <v>8</v>
      </c>
      <c r="L1219" t="s">
        <v>14</v>
      </c>
      <c r="M1219" t="s">
        <v>11</v>
      </c>
      <c r="N1219" t="s">
        <v>15</v>
      </c>
      <c r="O1219" t="s">
        <v>23</v>
      </c>
      <c r="P1219">
        <v>20</v>
      </c>
      <c r="Q1219" t="s">
        <v>50</v>
      </c>
      <c r="R1219" t="str">
        <f t="shared" ref="R1219:R1243" si="180">CONCATENATE(A1219,"_",B1219,"_", C1219,"_",D1219,"_",TEXT(E1219, "mm/dd/yyyy"),"_",G1219,"_",J1219,"_",K1219,"_",L1219,"_",M1219,"_",N1219,"_",O1219,"_",P1219,"_",Q1219)</f>
        <v>17_8___04/24/2024_2024_MonMon_OWC_TR_PW_Lys_A_20_Nutri</v>
      </c>
    </row>
    <row r="1220" spans="1:18" x14ac:dyDescent="0.25">
      <c r="A1220">
        <v>17</v>
      </c>
      <c r="B1220">
        <v>9</v>
      </c>
      <c r="E1220" s="2">
        <v>45406</v>
      </c>
      <c r="F1220" s="11">
        <f t="shared" si="179"/>
        <v>45406</v>
      </c>
      <c r="G1220">
        <f t="shared" si="177"/>
        <v>2024</v>
      </c>
      <c r="H1220">
        <f t="shared" si="178"/>
        <v>4</v>
      </c>
      <c r="J1220" t="s">
        <v>10</v>
      </c>
      <c r="K1220" t="s">
        <v>8</v>
      </c>
      <c r="L1220" t="s">
        <v>14</v>
      </c>
      <c r="M1220" t="s">
        <v>11</v>
      </c>
      <c r="N1220" t="s">
        <v>15</v>
      </c>
      <c r="O1220" t="s">
        <v>23</v>
      </c>
      <c r="P1220">
        <v>45</v>
      </c>
      <c r="Q1220" t="s">
        <v>50</v>
      </c>
      <c r="R1220" t="str">
        <f t="shared" si="180"/>
        <v>17_9___04/24/2024_2024_MonMon_OWC_TR_PW_Lys_A_45_Nutri</v>
      </c>
    </row>
    <row r="1221" spans="1:18" x14ac:dyDescent="0.25">
      <c r="A1221">
        <v>17</v>
      </c>
      <c r="B1221">
        <v>10</v>
      </c>
      <c r="E1221" s="2">
        <v>45406</v>
      </c>
      <c r="F1221" s="11">
        <f t="shared" si="179"/>
        <v>45406</v>
      </c>
      <c r="G1221">
        <f t="shared" si="177"/>
        <v>2024</v>
      </c>
      <c r="H1221">
        <f t="shared" si="178"/>
        <v>4</v>
      </c>
      <c r="J1221" t="s">
        <v>10</v>
      </c>
      <c r="K1221" t="s">
        <v>8</v>
      </c>
      <c r="L1221" t="s">
        <v>14</v>
      </c>
      <c r="M1221" t="s">
        <v>11</v>
      </c>
      <c r="N1221" t="s">
        <v>15</v>
      </c>
      <c r="O1221" t="s">
        <v>24</v>
      </c>
      <c r="P1221">
        <v>10</v>
      </c>
      <c r="Q1221" t="s">
        <v>50</v>
      </c>
      <c r="R1221" t="str">
        <f t="shared" si="180"/>
        <v>17_10___04/24/2024_2024_MonMon_OWC_TR_PW_Lys_B_10_Nutri</v>
      </c>
    </row>
    <row r="1222" spans="1:18" x14ac:dyDescent="0.25">
      <c r="A1222">
        <v>17</v>
      </c>
      <c r="B1222">
        <v>11</v>
      </c>
      <c r="E1222" s="2">
        <v>45406</v>
      </c>
      <c r="F1222" s="11">
        <f t="shared" si="179"/>
        <v>45406</v>
      </c>
      <c r="G1222">
        <f t="shared" si="177"/>
        <v>2024</v>
      </c>
      <c r="H1222">
        <f t="shared" si="178"/>
        <v>4</v>
      </c>
      <c r="J1222" t="s">
        <v>10</v>
      </c>
      <c r="K1222" t="s">
        <v>8</v>
      </c>
      <c r="L1222" t="s">
        <v>14</v>
      </c>
      <c r="M1222" t="s">
        <v>11</v>
      </c>
      <c r="N1222" t="s">
        <v>15</v>
      </c>
      <c r="O1222" t="s">
        <v>24</v>
      </c>
      <c r="P1222">
        <v>20</v>
      </c>
      <c r="Q1222" t="s">
        <v>50</v>
      </c>
      <c r="R1222" t="str">
        <f t="shared" si="180"/>
        <v>17_11___04/24/2024_2024_MonMon_OWC_TR_PW_Lys_B_20_Nutri</v>
      </c>
    </row>
    <row r="1223" spans="1:18" x14ac:dyDescent="0.25">
      <c r="A1223">
        <v>17</v>
      </c>
      <c r="B1223">
        <v>12</v>
      </c>
      <c r="E1223" s="2">
        <v>45406</v>
      </c>
      <c r="F1223" s="11">
        <f t="shared" si="179"/>
        <v>45406</v>
      </c>
      <c r="G1223">
        <f t="shared" si="177"/>
        <v>2024</v>
      </c>
      <c r="H1223">
        <f t="shared" si="178"/>
        <v>4</v>
      </c>
      <c r="J1223" t="s">
        <v>10</v>
      </c>
      <c r="K1223" t="s">
        <v>8</v>
      </c>
      <c r="L1223" t="s">
        <v>14</v>
      </c>
      <c r="M1223" t="s">
        <v>11</v>
      </c>
      <c r="N1223" t="s">
        <v>15</v>
      </c>
      <c r="O1223" t="s">
        <v>24</v>
      </c>
      <c r="P1223">
        <v>45</v>
      </c>
      <c r="Q1223" t="s">
        <v>50</v>
      </c>
      <c r="R1223" t="str">
        <f t="shared" si="180"/>
        <v>17_12___04/24/2024_2024_MonMon_OWC_TR_PW_Lys_B_45_Nutri</v>
      </c>
    </row>
    <row r="1224" spans="1:18" x14ac:dyDescent="0.25">
      <c r="A1224">
        <v>17</v>
      </c>
      <c r="B1224">
        <v>13</v>
      </c>
      <c r="E1224" s="2">
        <v>45406</v>
      </c>
      <c r="F1224" s="11">
        <f t="shared" si="179"/>
        <v>45406</v>
      </c>
      <c r="G1224">
        <f t="shared" si="177"/>
        <v>2024</v>
      </c>
      <c r="H1224">
        <f t="shared" si="178"/>
        <v>4</v>
      </c>
      <c r="J1224" t="s">
        <v>10</v>
      </c>
      <c r="K1224" t="s">
        <v>8</v>
      </c>
      <c r="L1224" t="s">
        <v>14</v>
      </c>
      <c r="M1224" t="s">
        <v>11</v>
      </c>
      <c r="N1224" t="s">
        <v>15</v>
      </c>
      <c r="O1224" t="s">
        <v>25</v>
      </c>
      <c r="P1224">
        <v>10</v>
      </c>
      <c r="Q1224" t="s">
        <v>50</v>
      </c>
      <c r="R1224" t="str">
        <f t="shared" si="180"/>
        <v>17_13___04/24/2024_2024_MonMon_OWC_TR_PW_Lys_C_10_Nutri</v>
      </c>
    </row>
    <row r="1225" spans="1:18" x14ac:dyDescent="0.25">
      <c r="A1225">
        <v>17</v>
      </c>
      <c r="B1225">
        <v>14</v>
      </c>
      <c r="E1225" s="2">
        <v>45406</v>
      </c>
      <c r="F1225" s="11">
        <f t="shared" si="179"/>
        <v>45406</v>
      </c>
      <c r="G1225">
        <f t="shared" si="177"/>
        <v>2024</v>
      </c>
      <c r="H1225">
        <f t="shared" si="178"/>
        <v>4</v>
      </c>
      <c r="J1225" t="s">
        <v>10</v>
      </c>
      <c r="K1225" t="s">
        <v>8</v>
      </c>
      <c r="L1225" t="s">
        <v>14</v>
      </c>
      <c r="M1225" t="s">
        <v>11</v>
      </c>
      <c r="N1225" t="s">
        <v>15</v>
      </c>
      <c r="O1225" t="s">
        <v>25</v>
      </c>
      <c r="P1225">
        <v>20</v>
      </c>
      <c r="Q1225" t="s">
        <v>50</v>
      </c>
      <c r="R1225" t="str">
        <f t="shared" si="180"/>
        <v>17_14___04/24/2024_2024_MonMon_OWC_TR_PW_Lys_C_20_Nutri</v>
      </c>
    </row>
    <row r="1226" spans="1:18" x14ac:dyDescent="0.25">
      <c r="A1226">
        <v>17</v>
      </c>
      <c r="B1226">
        <v>15</v>
      </c>
      <c r="E1226" s="2">
        <v>45406</v>
      </c>
      <c r="F1226" s="11">
        <f t="shared" si="179"/>
        <v>45406</v>
      </c>
      <c r="G1226">
        <f t="shared" si="177"/>
        <v>2024</v>
      </c>
      <c r="H1226">
        <f t="shared" si="178"/>
        <v>4</v>
      </c>
      <c r="J1226" t="s">
        <v>10</v>
      </c>
      <c r="K1226" t="s">
        <v>8</v>
      </c>
      <c r="L1226" t="s">
        <v>14</v>
      </c>
      <c r="M1226" t="s">
        <v>11</v>
      </c>
      <c r="N1226" t="s">
        <v>15</v>
      </c>
      <c r="O1226" t="s">
        <v>25</v>
      </c>
      <c r="P1226">
        <v>45</v>
      </c>
      <c r="Q1226" t="s">
        <v>50</v>
      </c>
      <c r="R1226" t="str">
        <f t="shared" si="180"/>
        <v>17_15___04/24/2024_2024_MonMon_OWC_TR_PW_Lys_C_45_Nutri</v>
      </c>
    </row>
    <row r="1227" spans="1:18" x14ac:dyDescent="0.25">
      <c r="A1227">
        <v>17</v>
      </c>
      <c r="B1227">
        <v>16</v>
      </c>
      <c r="E1227" s="2">
        <v>45406</v>
      </c>
      <c r="F1227" s="11">
        <f t="shared" si="179"/>
        <v>45406</v>
      </c>
      <c r="G1227">
        <f t="shared" si="177"/>
        <v>2024</v>
      </c>
      <c r="H1227">
        <f t="shared" si="178"/>
        <v>4</v>
      </c>
      <c r="J1227" t="s">
        <v>10</v>
      </c>
      <c r="K1227" t="s">
        <v>8</v>
      </c>
      <c r="L1227" t="s">
        <v>17</v>
      </c>
      <c r="M1227" t="s">
        <v>11</v>
      </c>
      <c r="N1227" t="s">
        <v>15</v>
      </c>
      <c r="O1227" t="s">
        <v>23</v>
      </c>
      <c r="P1227">
        <v>10</v>
      </c>
      <c r="Q1227" t="s">
        <v>50</v>
      </c>
      <c r="R1227" t="str">
        <f t="shared" si="180"/>
        <v>17_16___04/24/2024_2024_MonMon_OWC_UP_PW_Lys_A_10_Nutri</v>
      </c>
    </row>
    <row r="1228" spans="1:18" x14ac:dyDescent="0.25">
      <c r="A1228">
        <v>17</v>
      </c>
      <c r="B1228">
        <v>17</v>
      </c>
      <c r="E1228" s="2">
        <v>45406</v>
      </c>
      <c r="F1228" s="11">
        <f t="shared" si="179"/>
        <v>45406</v>
      </c>
      <c r="G1228">
        <f t="shared" si="177"/>
        <v>2024</v>
      </c>
      <c r="H1228">
        <f t="shared" si="178"/>
        <v>4</v>
      </c>
      <c r="J1228" t="s">
        <v>10</v>
      </c>
      <c r="K1228" t="s">
        <v>8</v>
      </c>
      <c r="L1228" t="s">
        <v>17</v>
      </c>
      <c r="M1228" t="s">
        <v>11</v>
      </c>
      <c r="N1228" t="s">
        <v>15</v>
      </c>
      <c r="O1228" t="s">
        <v>23</v>
      </c>
      <c r="P1228">
        <v>45</v>
      </c>
      <c r="Q1228" t="s">
        <v>50</v>
      </c>
      <c r="R1228" t="str">
        <f t="shared" si="180"/>
        <v>17_17___04/24/2024_2024_MonMon_OWC_UP_PW_Lys_A_45_Nutri</v>
      </c>
    </row>
    <row r="1229" spans="1:18" x14ac:dyDescent="0.25">
      <c r="A1229">
        <v>17</v>
      </c>
      <c r="B1229">
        <v>18</v>
      </c>
      <c r="E1229" s="2">
        <v>45406</v>
      </c>
      <c r="F1229" s="11">
        <f t="shared" si="179"/>
        <v>45406</v>
      </c>
      <c r="G1229">
        <f t="shared" si="177"/>
        <v>2024</v>
      </c>
      <c r="H1229">
        <f t="shared" si="178"/>
        <v>4</v>
      </c>
      <c r="J1229" t="s">
        <v>10</v>
      </c>
      <c r="K1229" t="s">
        <v>8</v>
      </c>
      <c r="L1229" t="s">
        <v>17</v>
      </c>
      <c r="M1229" t="s">
        <v>11</v>
      </c>
      <c r="N1229" t="s">
        <v>15</v>
      </c>
      <c r="O1229" t="s">
        <v>24</v>
      </c>
      <c r="P1229">
        <v>20</v>
      </c>
      <c r="Q1229" t="s">
        <v>50</v>
      </c>
      <c r="R1229" t="str">
        <f t="shared" si="180"/>
        <v>17_18___04/24/2024_2024_MonMon_OWC_UP_PW_Lys_B_20_Nutri</v>
      </c>
    </row>
    <row r="1230" spans="1:18" x14ac:dyDescent="0.25">
      <c r="A1230">
        <v>17</v>
      </c>
      <c r="B1230">
        <v>19</v>
      </c>
      <c r="E1230" s="2">
        <v>45406</v>
      </c>
      <c r="F1230" s="11">
        <f t="shared" si="179"/>
        <v>45406</v>
      </c>
      <c r="G1230">
        <f t="shared" si="177"/>
        <v>2024</v>
      </c>
      <c r="H1230">
        <f t="shared" si="178"/>
        <v>4</v>
      </c>
      <c r="J1230" t="s">
        <v>10</v>
      </c>
      <c r="K1230" t="s">
        <v>8</v>
      </c>
      <c r="L1230" t="s">
        <v>17</v>
      </c>
      <c r="M1230" t="s">
        <v>11</v>
      </c>
      <c r="N1230" t="s">
        <v>15</v>
      </c>
      <c r="O1230" t="s">
        <v>25</v>
      </c>
      <c r="P1230">
        <v>10</v>
      </c>
      <c r="Q1230" t="s">
        <v>50</v>
      </c>
      <c r="R1230" t="str">
        <f t="shared" si="180"/>
        <v>17_19___04/24/2024_2024_MonMon_OWC_UP_PW_Lys_C_10_Nutri</v>
      </c>
    </row>
    <row r="1231" spans="1:18" x14ac:dyDescent="0.25">
      <c r="A1231">
        <v>17</v>
      </c>
      <c r="B1231">
        <v>20</v>
      </c>
      <c r="E1231" s="2">
        <v>45406</v>
      </c>
      <c r="F1231" s="11">
        <f t="shared" si="179"/>
        <v>45406</v>
      </c>
      <c r="G1231">
        <f t="shared" si="177"/>
        <v>2024</v>
      </c>
      <c r="H1231">
        <f t="shared" si="178"/>
        <v>4</v>
      </c>
      <c r="J1231" t="s">
        <v>10</v>
      </c>
      <c r="K1231" t="s">
        <v>8</v>
      </c>
      <c r="L1231" t="s">
        <v>17</v>
      </c>
      <c r="M1231" t="s">
        <v>11</v>
      </c>
      <c r="N1231" t="s">
        <v>15</v>
      </c>
      <c r="O1231" t="s">
        <v>25</v>
      </c>
      <c r="P1231">
        <v>45</v>
      </c>
      <c r="Q1231" t="s">
        <v>50</v>
      </c>
      <c r="R1231" t="str">
        <f t="shared" si="180"/>
        <v>17_20___04/24/2024_2024_MonMon_OWC_UP_PW_Lys_C_45_Nutri</v>
      </c>
    </row>
    <row r="1232" spans="1:18" s="6" customFormat="1" x14ac:dyDescent="0.25">
      <c r="A1232" s="6">
        <v>17</v>
      </c>
      <c r="B1232" s="6">
        <v>21</v>
      </c>
      <c r="E1232" s="10">
        <v>45406</v>
      </c>
      <c r="F1232" s="11">
        <f t="shared" si="179"/>
        <v>45406</v>
      </c>
      <c r="G1232" s="6">
        <f t="shared" si="177"/>
        <v>2024</v>
      </c>
      <c r="H1232" s="6">
        <f t="shared" si="178"/>
        <v>4</v>
      </c>
      <c r="J1232" s="6" t="s">
        <v>10</v>
      </c>
      <c r="K1232" s="6" t="s">
        <v>8</v>
      </c>
      <c r="L1232" s="6" t="s">
        <v>28</v>
      </c>
      <c r="M1232" s="6" t="s">
        <v>28</v>
      </c>
      <c r="N1232" s="6" t="s">
        <v>27</v>
      </c>
      <c r="O1232" s="6" t="s">
        <v>23</v>
      </c>
      <c r="Q1232" s="6" t="s">
        <v>50</v>
      </c>
      <c r="R1232" t="str">
        <f t="shared" si="180"/>
        <v>17_21___04/24/2024_2024_MonMon_OWC_OW_OW_Sip_A__Nutri</v>
      </c>
    </row>
    <row r="1233" spans="1:18" s="6" customFormat="1" x14ac:dyDescent="0.25">
      <c r="A1233" s="6">
        <v>17</v>
      </c>
      <c r="B1233" s="6">
        <v>22</v>
      </c>
      <c r="E1233" s="10">
        <v>45406</v>
      </c>
      <c r="F1233" s="11">
        <f t="shared" si="179"/>
        <v>45406</v>
      </c>
      <c r="G1233" s="6">
        <f t="shared" si="177"/>
        <v>2024</v>
      </c>
      <c r="H1233" s="6">
        <f t="shared" si="178"/>
        <v>4</v>
      </c>
      <c r="J1233" s="6" t="s">
        <v>10</v>
      </c>
      <c r="K1233" s="6" t="s">
        <v>8</v>
      </c>
      <c r="L1233" s="6" t="s">
        <v>28</v>
      </c>
      <c r="M1233" s="6" t="s">
        <v>28</v>
      </c>
      <c r="N1233" s="6" t="s">
        <v>27</v>
      </c>
      <c r="O1233" s="6" t="s">
        <v>24</v>
      </c>
      <c r="Q1233" s="6" t="s">
        <v>50</v>
      </c>
      <c r="R1233" t="str">
        <f t="shared" si="180"/>
        <v>17_22___04/24/2024_2024_MonMon_OWC_OW_OW_Sip_B__Nutri</v>
      </c>
    </row>
    <row r="1234" spans="1:18" s="6" customFormat="1" x14ac:dyDescent="0.25">
      <c r="A1234" s="6">
        <v>17</v>
      </c>
      <c r="B1234" s="6">
        <v>23</v>
      </c>
      <c r="E1234" s="10">
        <v>45406</v>
      </c>
      <c r="F1234" s="11">
        <f t="shared" si="179"/>
        <v>45406</v>
      </c>
      <c r="G1234" s="6">
        <f t="shared" si="177"/>
        <v>2024</v>
      </c>
      <c r="H1234" s="6">
        <f t="shared" si="178"/>
        <v>4</v>
      </c>
      <c r="J1234" s="6" t="s">
        <v>10</v>
      </c>
      <c r="K1234" s="6" t="s">
        <v>8</v>
      </c>
      <c r="L1234" s="6" t="s">
        <v>28</v>
      </c>
      <c r="M1234" s="6" t="s">
        <v>28</v>
      </c>
      <c r="N1234" s="6" t="s">
        <v>27</v>
      </c>
      <c r="O1234" s="6" t="s">
        <v>25</v>
      </c>
      <c r="Q1234" s="6" t="s">
        <v>50</v>
      </c>
      <c r="R1234" t="str">
        <f t="shared" si="180"/>
        <v>17_23___04/24/2024_2024_MonMon_OWC_OW_OW_Sip_C__Nutri</v>
      </c>
    </row>
    <row r="1235" spans="1:18" x14ac:dyDescent="0.25">
      <c r="A1235">
        <v>17</v>
      </c>
      <c r="B1235">
        <v>24</v>
      </c>
      <c r="E1235" s="2">
        <v>45497</v>
      </c>
      <c r="F1235" s="11">
        <f t="shared" si="179"/>
        <v>45497</v>
      </c>
      <c r="G1235">
        <f t="shared" ref="G1235:G1243" si="181">YEAR(E1235)</f>
        <v>2024</v>
      </c>
      <c r="H1235">
        <f t="shared" ref="H1235:H1243" si="182">MONTH(E1235)</f>
        <v>7</v>
      </c>
      <c r="J1235" t="s">
        <v>10</v>
      </c>
      <c r="K1235" t="s">
        <v>16</v>
      </c>
      <c r="L1235" t="s">
        <v>9</v>
      </c>
      <c r="M1235" t="s">
        <v>11</v>
      </c>
      <c r="N1235" t="s">
        <v>27</v>
      </c>
      <c r="O1235" t="s">
        <v>23</v>
      </c>
      <c r="P1235">
        <v>45</v>
      </c>
      <c r="Q1235" t="s">
        <v>50</v>
      </c>
      <c r="R1235" t="str">
        <f t="shared" si="180"/>
        <v>17_24___07/24/2024_2024_MonMon_CRC_W_PW_Sip_A_45_Nutri</v>
      </c>
    </row>
    <row r="1236" spans="1:18" x14ac:dyDescent="0.25">
      <c r="A1236">
        <v>17</v>
      </c>
      <c r="B1236">
        <v>25</v>
      </c>
      <c r="E1236" s="2">
        <v>45497</v>
      </c>
      <c r="F1236" s="11">
        <f t="shared" si="179"/>
        <v>45497</v>
      </c>
      <c r="G1236">
        <f t="shared" si="181"/>
        <v>2024</v>
      </c>
      <c r="H1236">
        <f t="shared" si="182"/>
        <v>7</v>
      </c>
      <c r="J1236" t="s">
        <v>10</v>
      </c>
      <c r="K1236" t="s">
        <v>16</v>
      </c>
      <c r="L1236" t="s">
        <v>9</v>
      </c>
      <c r="M1236" t="s">
        <v>11</v>
      </c>
      <c r="N1236" t="s">
        <v>27</v>
      </c>
      <c r="O1236" t="s">
        <v>24</v>
      </c>
      <c r="P1236">
        <v>45</v>
      </c>
      <c r="Q1236" t="s">
        <v>50</v>
      </c>
      <c r="R1236" t="str">
        <f t="shared" si="180"/>
        <v>17_25___07/24/2024_2024_MonMon_CRC_W_PW_Sip_B_45_Nutri</v>
      </c>
    </row>
    <row r="1237" spans="1:18" x14ac:dyDescent="0.25">
      <c r="A1237">
        <v>17</v>
      </c>
      <c r="B1237">
        <v>26</v>
      </c>
      <c r="E1237" s="2">
        <v>45497</v>
      </c>
      <c r="F1237" s="11">
        <f t="shared" si="179"/>
        <v>45497</v>
      </c>
      <c r="G1237" s="5">
        <f t="shared" si="181"/>
        <v>2024</v>
      </c>
      <c r="H1237" s="5">
        <f t="shared" si="182"/>
        <v>7</v>
      </c>
      <c r="I1237" s="4"/>
      <c r="J1237" t="s">
        <v>10</v>
      </c>
      <c r="K1237" t="s">
        <v>8</v>
      </c>
      <c r="L1237" t="s">
        <v>9</v>
      </c>
      <c r="M1237" t="s">
        <v>11</v>
      </c>
      <c r="N1237" t="s">
        <v>27</v>
      </c>
      <c r="O1237" t="s">
        <v>23</v>
      </c>
      <c r="P1237">
        <v>20</v>
      </c>
      <c r="Q1237" t="s">
        <v>50</v>
      </c>
      <c r="R1237" t="str">
        <f t="shared" si="180"/>
        <v>17_26___07/24/2024_2024_MonMon_OWC_W_PW_Sip_A_20_Nutri</v>
      </c>
    </row>
    <row r="1238" spans="1:18" x14ac:dyDescent="0.25">
      <c r="A1238">
        <v>17</v>
      </c>
      <c r="B1238">
        <v>27</v>
      </c>
      <c r="E1238" s="2">
        <v>45497</v>
      </c>
      <c r="F1238" s="11">
        <f t="shared" si="179"/>
        <v>45497</v>
      </c>
      <c r="G1238" s="5">
        <f t="shared" si="181"/>
        <v>2024</v>
      </c>
      <c r="H1238" s="5">
        <f t="shared" si="182"/>
        <v>7</v>
      </c>
      <c r="I1238" s="4"/>
      <c r="J1238" t="s">
        <v>10</v>
      </c>
      <c r="K1238" t="s">
        <v>8</v>
      </c>
      <c r="L1238" t="s">
        <v>9</v>
      </c>
      <c r="M1238" t="s">
        <v>11</v>
      </c>
      <c r="N1238" t="s">
        <v>27</v>
      </c>
      <c r="O1238" t="s">
        <v>23</v>
      </c>
      <c r="P1238">
        <v>45</v>
      </c>
      <c r="Q1238" t="s">
        <v>50</v>
      </c>
      <c r="R1238" t="str">
        <f t="shared" si="180"/>
        <v>17_27___07/24/2024_2024_MonMon_OWC_W_PW_Sip_A_45_Nutri</v>
      </c>
    </row>
    <row r="1239" spans="1:18" x14ac:dyDescent="0.25">
      <c r="A1239">
        <v>17</v>
      </c>
      <c r="B1239">
        <v>28</v>
      </c>
      <c r="E1239" s="2">
        <v>45497</v>
      </c>
      <c r="F1239" s="11">
        <f t="shared" si="179"/>
        <v>45497</v>
      </c>
      <c r="G1239" s="5">
        <f t="shared" si="181"/>
        <v>2024</v>
      </c>
      <c r="H1239" s="5">
        <f t="shared" si="182"/>
        <v>7</v>
      </c>
      <c r="I1239" s="4"/>
      <c r="J1239" t="s">
        <v>10</v>
      </c>
      <c r="K1239" t="s">
        <v>8</v>
      </c>
      <c r="L1239" t="s">
        <v>9</v>
      </c>
      <c r="M1239" t="s">
        <v>11</v>
      </c>
      <c r="N1239" t="s">
        <v>27</v>
      </c>
      <c r="O1239" t="s">
        <v>24</v>
      </c>
      <c r="P1239">
        <v>20</v>
      </c>
      <c r="Q1239" t="s">
        <v>50</v>
      </c>
      <c r="R1239" t="str">
        <f t="shared" si="180"/>
        <v>17_28___07/24/2024_2024_MonMon_OWC_W_PW_Sip_B_20_Nutri</v>
      </c>
    </row>
    <row r="1240" spans="1:18" x14ac:dyDescent="0.25">
      <c r="A1240">
        <v>17</v>
      </c>
      <c r="B1240">
        <v>29</v>
      </c>
      <c r="E1240" s="2">
        <v>45497</v>
      </c>
      <c r="F1240" s="11">
        <f t="shared" si="179"/>
        <v>45497</v>
      </c>
      <c r="G1240" s="5">
        <f t="shared" si="181"/>
        <v>2024</v>
      </c>
      <c r="H1240" s="5">
        <f t="shared" si="182"/>
        <v>7</v>
      </c>
      <c r="I1240" s="4"/>
      <c r="J1240" t="s">
        <v>10</v>
      </c>
      <c r="K1240" t="s">
        <v>8</v>
      </c>
      <c r="L1240" t="s">
        <v>9</v>
      </c>
      <c r="M1240" t="s">
        <v>11</v>
      </c>
      <c r="N1240" t="s">
        <v>27</v>
      </c>
      <c r="O1240" t="s">
        <v>24</v>
      </c>
      <c r="P1240">
        <v>45</v>
      </c>
      <c r="Q1240" t="s">
        <v>50</v>
      </c>
      <c r="R1240" t="str">
        <f t="shared" si="180"/>
        <v>17_29___07/24/2024_2024_MonMon_OWC_W_PW_Sip_B_45_Nutri</v>
      </c>
    </row>
    <row r="1241" spans="1:18" x14ac:dyDescent="0.25">
      <c r="A1241">
        <v>17</v>
      </c>
      <c r="B1241">
        <v>30</v>
      </c>
      <c r="E1241" s="2">
        <v>45497</v>
      </c>
      <c r="F1241" s="11">
        <f t="shared" si="179"/>
        <v>45497</v>
      </c>
      <c r="G1241" s="5">
        <f t="shared" si="181"/>
        <v>2024</v>
      </c>
      <c r="H1241" s="5">
        <f t="shared" si="182"/>
        <v>7</v>
      </c>
      <c r="I1241" s="4"/>
      <c r="J1241" t="s">
        <v>10</v>
      </c>
      <c r="K1241" t="s">
        <v>8</v>
      </c>
      <c r="L1241" t="s">
        <v>9</v>
      </c>
      <c r="M1241" t="s">
        <v>11</v>
      </c>
      <c r="N1241" t="s">
        <v>27</v>
      </c>
      <c r="O1241" t="s">
        <v>25</v>
      </c>
      <c r="P1241">
        <v>10</v>
      </c>
      <c r="Q1241" t="s">
        <v>50</v>
      </c>
      <c r="R1241" t="str">
        <f t="shared" si="180"/>
        <v>17_30___07/24/2024_2024_MonMon_OWC_W_PW_Sip_C_10_Nutri</v>
      </c>
    </row>
    <row r="1242" spans="1:18" x14ac:dyDescent="0.25">
      <c r="A1242">
        <v>17</v>
      </c>
      <c r="B1242">
        <v>31</v>
      </c>
      <c r="E1242" s="2">
        <v>45497</v>
      </c>
      <c r="F1242" s="11">
        <f t="shared" si="179"/>
        <v>45497</v>
      </c>
      <c r="G1242" s="5">
        <f t="shared" si="181"/>
        <v>2024</v>
      </c>
      <c r="H1242" s="5">
        <f t="shared" si="182"/>
        <v>7</v>
      </c>
      <c r="I1242" s="4"/>
      <c r="J1242" t="s">
        <v>10</v>
      </c>
      <c r="K1242" t="s">
        <v>8</v>
      </c>
      <c r="L1242" t="s">
        <v>9</v>
      </c>
      <c r="M1242" t="s">
        <v>11</v>
      </c>
      <c r="N1242" t="s">
        <v>27</v>
      </c>
      <c r="O1242" t="s">
        <v>25</v>
      </c>
      <c r="P1242">
        <v>20</v>
      </c>
      <c r="Q1242" t="s">
        <v>50</v>
      </c>
      <c r="R1242" t="str">
        <f t="shared" si="180"/>
        <v>17_31___07/24/2024_2024_MonMon_OWC_W_PW_Sip_C_20_Nutri</v>
      </c>
    </row>
    <row r="1243" spans="1:18" x14ac:dyDescent="0.25">
      <c r="A1243">
        <v>17</v>
      </c>
      <c r="B1243">
        <v>32</v>
      </c>
      <c r="E1243" s="2">
        <v>45497</v>
      </c>
      <c r="F1243" s="11">
        <f t="shared" si="179"/>
        <v>45497</v>
      </c>
      <c r="G1243" s="5">
        <f t="shared" si="181"/>
        <v>2024</v>
      </c>
      <c r="H1243" s="5">
        <f t="shared" si="182"/>
        <v>7</v>
      </c>
      <c r="I1243" s="4"/>
      <c r="J1243" t="s">
        <v>10</v>
      </c>
      <c r="K1243" t="s">
        <v>8</v>
      </c>
      <c r="L1243" t="s">
        <v>9</v>
      </c>
      <c r="M1243" t="s">
        <v>11</v>
      </c>
      <c r="N1243" t="s">
        <v>27</v>
      </c>
      <c r="O1243" t="s">
        <v>25</v>
      </c>
      <c r="P1243">
        <v>45</v>
      </c>
      <c r="Q1243" t="s">
        <v>50</v>
      </c>
      <c r="R1243" t="str">
        <f t="shared" si="180"/>
        <v>17_32___07/24/2024_2024_MonMon_OWC_W_PW_Sip_C_45_Nutri</v>
      </c>
    </row>
    <row r="1362" spans="7:7" x14ac:dyDescent="0.25">
      <c r="G1362" s="6"/>
    </row>
    <row r="1363" spans="7:7" x14ac:dyDescent="0.25">
      <c r="G1363" s="6"/>
    </row>
    <row r="1364" spans="7:7" x14ac:dyDescent="0.25">
      <c r="G1364" s="6"/>
    </row>
    <row r="1367" spans="7:7" x14ac:dyDescent="0.25">
      <c r="G1367" s="5"/>
    </row>
    <row r="1368" spans="7:7" x14ac:dyDescent="0.25">
      <c r="G1368" s="5"/>
    </row>
    <row r="1369" spans="7:7" x14ac:dyDescent="0.25">
      <c r="G1369" s="5"/>
    </row>
    <row r="1370" spans="7:7" x14ac:dyDescent="0.25">
      <c r="G1370" s="5"/>
    </row>
    <row r="1371" spans="7:7" x14ac:dyDescent="0.25">
      <c r="G1371" s="5"/>
    </row>
    <row r="1372" spans="7:7" x14ac:dyDescent="0.25">
      <c r="G1372" s="5"/>
    </row>
    <row r="1373" spans="7:7" x14ac:dyDescent="0.25">
      <c r="G1373" s="5"/>
    </row>
  </sheetData>
  <autoFilter ref="A1:Q1243" xr:uid="{4CDBCAF8-27B6-4CE6-A88A-7750E8DB75D7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560fa5-ba3a-4479-86f2-473e002ca9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39833A38F6D6468A8F959CD490868D" ma:contentTypeVersion="3" ma:contentTypeDescription="Create a new document." ma:contentTypeScope="" ma:versionID="0384abbedf0fda8be4a9abd454bd5649">
  <xsd:schema xmlns:xsd="http://www.w3.org/2001/XMLSchema" xmlns:xs="http://www.w3.org/2001/XMLSchema" xmlns:p="http://schemas.microsoft.com/office/2006/metadata/properties" xmlns:ns3="2f560fa5-ba3a-4479-86f2-473e002ca96a" targetNamespace="http://schemas.microsoft.com/office/2006/metadata/properties" ma:root="true" ma:fieldsID="729a3f988ac44ab4e0840b4e6d425fbc" ns3:_="">
    <xsd:import namespace="2f560fa5-ba3a-4479-86f2-473e002ca9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60fa5-ba3a-4479-86f2-473e002ca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122864-B21B-4A87-91CB-894F335F509A}">
  <ds:schemaRefs>
    <ds:schemaRef ds:uri="http://schemas.microsoft.com/office/2006/metadata/properties"/>
    <ds:schemaRef ds:uri="http://purl.org/dc/elements/1.1/"/>
    <ds:schemaRef ds:uri="http://purl.org/dc/dcmitype/"/>
    <ds:schemaRef ds:uri="2f560fa5-ba3a-4479-86f2-473e002ca96a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081EA95-A4FC-41A3-8199-702170DBE5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2A4886-D7DA-4F81-8045-7F86B550CF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560fa5-ba3a-4479-86f2-473e002ca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Funk, Casey Rae</dc:creator>
  <cp:keywords/>
  <dc:description/>
  <cp:lastModifiedBy>Machado da silva, Fausto</cp:lastModifiedBy>
  <cp:revision/>
  <dcterms:created xsi:type="dcterms:W3CDTF">2023-02-09T22:32:09Z</dcterms:created>
  <dcterms:modified xsi:type="dcterms:W3CDTF">2026-03-24T17:52:47Z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0x0101006A39833A38F6D6468A8F959CD490868D</vt:lpwstr>
  </property>
</Properties>
</file>